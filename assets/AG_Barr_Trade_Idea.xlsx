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ad Me" sheetId="2" state="visible" r:id="rId4"/>
    <sheet name="Valuation" sheetId="3" state="visible" r:id="rId5"/>
    <sheet name="Thesis &amp; Risks" sheetId="4" state="visible" r:id="rId6"/>
  </sheets>
  <definedNames>
    <definedName function="false" hidden="false" localSheetId="0" name="_xlnm.Print_Area" vbProcedure="false">Dashboard!$A$1:$T$30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JT</author>
  </authors>
  <commentList>
    <comment ref="B3" authorId="0">
      <text>
        <r>
          <rPr>
            <sz val="10"/>
            <rFont val="Arial"/>
            <family val="2"/>
          </rPr>
          <t xml:space="preserve">Sources: A.G. Barr plc FY2025/26 results (revenue GBP 437.3m +4.0%, adj PBT GBP 65.8m +12.5%, adj operating margin 14.8%, net income GBP 47.1m, EPS ~42p); market data as of 30 Jun 2026 (price 632p, market cap ~GBP 726m, EV/EBITDA 8.7x, net cash ~GBP 82m, dividend ~19p); analyst consensus Strong Buy, target ~784p (uk.investing.com / MarketBeat / MarketScreener). Britvic take-out multiple ~13x EV/EBITDA (Carlsberg, 2024).</t>
        </r>
      </text>
    </comment>
    <comment ref="B29" authorId="0">
      <text>
        <r>
          <rPr>
            <sz val="10"/>
            <rFont val="Arial"/>
            <family val="2"/>
          </rPr>
          <t xml:space="preserve">Base-case target: ~10x FY27E EBITDA (still below the ~13x Britvic take-out). Cross-checks to analyst consensus ~784p.</t>
        </r>
      </text>
    </comment>
  </commentList>
</comments>
</file>

<file path=xl/sharedStrings.xml><?xml version="1.0" encoding="utf-8"?>
<sst xmlns="http://schemas.openxmlformats.org/spreadsheetml/2006/main" count="82" uniqueCount="78">
  <si>
    <t xml:space="preserve">A.G. BARR p.l.c. (LON:BAG)  -  Equity Trade Idea</t>
  </si>
  <si>
    <t xml:space="preserve">Prepared by Jewel Thomas  |  Consumer Staples / Soft Drinks  |  Data as of 30 Jun 2026  |  Directional view, data-driven</t>
  </si>
  <si>
    <t xml:space="preserve">SHARE PRICE</t>
  </si>
  <si>
    <t xml:space="preserve">PRICE TARGET</t>
  </si>
  <si>
    <t xml:space="preserve">RATING</t>
  </si>
  <si>
    <t xml:space="preserve">EV / EBITDA</t>
  </si>
  <si>
    <t xml:space="preserve">8.7x</t>
  </si>
  <si>
    <t xml:space="preserve">BUY</t>
  </si>
  <si>
    <t xml:space="preserve">10.0x</t>
  </si>
  <si>
    <t xml:space="preserve">as of 30 Jun 2026</t>
  </si>
  <si>
    <t xml:space="preserve">12-month horizon</t>
  </si>
  <si>
    <t xml:space="preserve">vs ~13x Britvic take-out</t>
  </si>
  <si>
    <t xml:space="preserve">11.0x</t>
  </si>
  <si>
    <t xml:space="preserve">13.0x</t>
  </si>
  <si>
    <t xml:space="preserve">IMPLIED VALUE / SHARE vs EV/EBITDA MULTIPLE (FY27E)</t>
  </si>
  <si>
    <t xml:space="preserve">VALUATION SNAPSHOT</t>
  </si>
  <si>
    <t xml:space="preserve">Share price (p)</t>
  </si>
  <si>
    <t xml:space="preserve">Price target (p)</t>
  </si>
  <si>
    <t xml:space="preserve">Upside</t>
  </si>
  <si>
    <t xml:space="preserve">Market cap</t>
  </si>
  <si>
    <t xml:space="preserve">Net cash</t>
  </si>
  <si>
    <t xml:space="preserve">EV / FY26 EBITDA</t>
  </si>
  <si>
    <t xml:space="preserve">P/E (statutory)</t>
  </si>
  <si>
    <t xml:space="preserve">Dividend yield</t>
  </si>
  <si>
    <t xml:space="preserve">Consensus</t>
  </si>
  <si>
    <t xml:space="preserve">Strong Buy ~784p</t>
  </si>
  <si>
    <t xml:space="preserve">THESIS: Net-cash, double-digit-growth soft-drinks brand (IRN-BRU, Rubicon, Boost) at 8.7x EV/EBITDA - a discount to its growth and to the ~13x Britvic take-out. Re-rating to 10x FY27E EBITDA implies ~794p. Full thesis, catalysts and risks on the 'Thesis &amp; Risks' tab.</t>
  </si>
  <si>
    <t xml:space="preserve">A.G. BARR p.l.c. (LON:BAG)</t>
  </si>
  <si>
    <t xml:space="preserve">Equity Trade Idea</t>
  </si>
  <si>
    <t xml:space="preserve">Prepared by Jewel Thomas  |  Portfolio analysis  |  Consumer Staples / Soft Drinks  |  Data as of 30 Jun 2026</t>
  </si>
  <si>
    <t xml:space="preserve">RECOMMENDATION</t>
  </si>
  <si>
    <t xml:space="preserve">BUY. Price target 785p vs 632p spot = c.24% upside over 12 months. A branded, net-cash, double-digit-growth soft-drinks business trading at only 8.7x EV/EBITDA - a discount to both its own growth and to sector M&amp;A multiples.</t>
  </si>
  <si>
    <t xml:space="preserve">THE VIEW IN ONE LINE</t>
  </si>
  <si>
    <t xml:space="preserve">The market is pricing A.G. Barr as an ex-growth staple; the FY26 numbers (net income +19%, margin +120bps) and management's low-double-digit revenue guidance say otherwise. A modest re-rating toward peers closes the gap.</t>
  </si>
  <si>
    <t xml:space="preserve">WHY IT'S MISPRICED</t>
  </si>
  <si>
    <t xml:space="preserve">(1) EV/EBITDA 8.7x vs the ~13x Carlsberg paid for Britvic in 2024. (2) Net cash of ~GBP 82m (c.11% of market cap) de-risks the balance sheet and funds buybacks/M&amp;A. (3) Consensus is Strong Buy (8 buy / 1 hold / 0 sell, target ~784p) yet the shares still trade on a sub-market multiple.</t>
  </si>
  <si>
    <t xml:space="preserve">DATA INTEGRITY</t>
  </si>
  <si>
    <t xml:space="preserve">Every figure is reported/market-sourced (see 'Valuation' tab comments). The price target is derived transparently: FY27E EBITDA of ~GBP 83m at a 10x EV/EBITDA multiple plus net cash. The multiple-sensitivity grid shows the call is robust - even at 8.7x on FY27 numbers the stock is worth ~700p.</t>
  </si>
  <si>
    <t xml:space="preserve">KEY RISKS</t>
  </si>
  <si>
    <t xml:space="preserve">UK-concentrated revenue; input-cost inflation (sugar, aluminium); soft-drinks sugar levy / regulation; reliance on IRN-BRU &amp; Rubicon; consumer-staples de-rating risk; execution against double-digit guidance.</t>
  </si>
  <si>
    <t xml:space="preserve">SOURCES</t>
  </si>
  <si>
    <t xml:space="preserve">Sources: A.G. Barr plc FY2025/26 results (revenue GBP 437.3m +4.0%, adj PBT GBP 65.8m +12.5%, adj operating margin 14.8%, net income GBP 47.1m, EPS ~42p); market data as of 30 Jun 2026 (price 632p, market cap ~GBP 726m, EV/EBITDA 8.7x, net cash ~GBP 82m, dividend ~19p); analyst consensus Strong Buy, target ~784p (uk.investing.com / MarketBeat / MarketScreener). Britvic take-out multiple ~13x EV/EBITDA (Carlsberg, 2024).</t>
  </si>
  <si>
    <t xml:space="preserve">DISCLAIMER</t>
  </si>
  <si>
    <t xml:space="preserve">For portfolio / educational purposes only. Not investment advice; not affiliated with or endorsed by A.G. Barr p.l.c. A personal directional view for demonstration of equity analysis.</t>
  </si>
  <si>
    <t xml:space="preserve">VALUATION (GBP m unless stated)</t>
  </si>
  <si>
    <t xml:space="preserve">Shares in issue (m)</t>
  </si>
  <si>
    <t xml:space="preserve">Market capitalisation</t>
  </si>
  <si>
    <t xml:space="preserve">Less: net cash</t>
  </si>
  <si>
    <t xml:space="preserve">Enterprise value (EV)</t>
  </si>
  <si>
    <t xml:space="preserve">FY26 revenue</t>
  </si>
  <si>
    <t xml:space="preserve">FY26 EBITDA (est.)</t>
  </si>
  <si>
    <t xml:space="preserve">FY26 net income</t>
  </si>
  <si>
    <t xml:space="preserve">Dividend per share (p)</t>
  </si>
  <si>
    <t xml:space="preserve">IMPLIED VALUE PER SHARE vs EV/EBITDA MULTIPLE (FY27E)</t>
  </si>
  <si>
    <t xml:space="preserve">FY27E EBITDA (est., ~12% rev growth, margin held)</t>
  </si>
  <si>
    <t xml:space="preserve">EV/EBITDA</t>
  </si>
  <si>
    <t xml:space="preserve">Implied EV</t>
  </si>
  <si>
    <t xml:space="preserve">Equity value</t>
  </si>
  <si>
    <t xml:space="preserve">Value/share (p)</t>
  </si>
  <si>
    <t xml:space="preserve">Spot price 632p. Even at 8.7x on FY27 numbers the stock is ~700p; base-case 10x = ~794p. Britvic was acquired at ~13x.</t>
  </si>
  <si>
    <t xml:space="preserve">Peer benchmark: Britvic / Carlsberg (2024) ~13x EV/EBITDA. A.G. Barr trades at 8.7x with net cash and stronger guided growth.</t>
  </si>
  <si>
    <t xml:space="preserve">PRICE TARGET (p)  -  ~10x FY27E EBITDA, in line with consensus ~784p</t>
  </si>
  <si>
    <t xml:space="preserve">INVESTMENT THESIS, CATALYSTS &amp; RISKS</t>
  </si>
  <si>
    <t xml:space="preserve">THESIS (BUY, target 785p, ~24% upside, 12m)</t>
  </si>
  <si>
    <t xml:space="preserve">- A.G. Barr is a net-cash, brand-led UK soft-drinks company (IRN-BRU, Rubicon, Boost, FUNKIN) growing earnings at a double-digit rate but priced like a mature staple at 8.7x EV/EBITDA.</t>
  </si>
  <si>
    <t xml:space="preserve">- FY26 delivered revenue +4.0% to GBP 437.3m, adjusted operating margin +120bps to 14.8%, and net income +19% to GBP 47.1m - evidence the portfolio reshaping (Boost, Rubicon) and pricing are working.</t>
  </si>
  <si>
    <t xml:space="preserve">- Management guides to 'elevated low-double-digit' revenue growth in FY27. On FY27E EBITDA of ~GBP 83m, a re-rating to 10x EV/EBITDA (still below the Britvic take-out) implies ~794p.</t>
  </si>
  <si>
    <t xml:space="preserve">CATALYSTS</t>
  </si>
  <si>
    <t xml:space="preserve">- Continued momentum in Boost and Rubicon; margin expansion delivering ahead of guidance.</t>
  </si>
  <si>
    <t xml:space="preserve">- Capital return / M&amp;A: net cash of ~GBP 82m supports buybacks or bolt-on acquisitions.</t>
  </si>
  <si>
    <t xml:space="preserve">- Sector consolidation: post-Britvic, branded UK soft-drinks assets are scarce - scarcity/bid optionality.</t>
  </si>
  <si>
    <t xml:space="preserve">- Earnings upgrades if double-digit guidance is met or beaten.</t>
  </si>
  <si>
    <t xml:space="preserve">RISKS (and what would change the view)</t>
  </si>
  <si>
    <t xml:space="preserve">- Input-cost inflation (sugar, aluminium, energy) compressing the margin gains - watch gross margin.</t>
  </si>
  <si>
    <t xml:space="preserve">- Regulation: extension of the soft-drinks sugar levy or marketing restrictions.</t>
  </si>
  <si>
    <t xml:space="preserve">- Concentration: UK-only revenue and reliance on IRN-BRU / Rubicon.</t>
  </si>
  <si>
    <t xml:space="preserve">- De-rating risk: a broad consumer-staples sell-off could cap the re-rating even if earnings deliver.</t>
  </si>
  <si>
    <t xml:space="preserve">- Sell discipline: thesis breaks if FY27 revenue growth slips to low-single-digits or margin reverses.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</si>
</sst>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#,##0\p"/>
    <numFmt numFmtId="167" formatCode="0.0\x"/>
    <numFmt numFmtId="168" formatCode="&quot;as of 30 Jun 2026&quot;;;&quot;as of 30 Jun 2026&quot;"/>
    <numFmt numFmtId="169" formatCode="\+0%&quot; upside&quot;;\-0%&quot; downside&quot;"/>
    <numFmt numFmtId="170" formatCode="&quot;vs ~13x Britvic take-out&quot;;;&quot;vs ~13x Britvic take-out&quot;"/>
    <numFmt numFmtId="171" formatCode="0.0%;\(0.0%\);\-"/>
    <numFmt numFmtId="172" formatCode="&quot;GBP &quot;#,##0\m"/>
    <numFmt numFmtId="173" formatCode="#,##0.0"/>
    <numFmt numFmtId="174" formatCode="#,##0.0;\(#,##0.0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6B7892"/>
      <name val="Arial"/>
      <family val="0"/>
      <charset val="1"/>
    </font>
    <font>
      <b val="true"/>
      <sz val="8"/>
      <color rgb="FF6B7892"/>
      <name val="Arial"/>
      <family val="0"/>
      <charset val="1"/>
    </font>
    <font>
      <b val="true"/>
      <sz val="8"/>
      <color rgb="FF9FB2CC"/>
      <name val="Arial"/>
      <family val="0"/>
      <charset val="1"/>
    </font>
    <font>
      <i val="true"/>
      <sz val="8"/>
      <color rgb="FF6B7892"/>
      <name val="Arial"/>
      <family val="0"/>
      <charset val="1"/>
    </font>
    <font>
      <b val="true"/>
      <sz val="18"/>
      <color rgb="FF11203A"/>
      <name val="Arial"/>
      <family val="0"/>
      <charset val="1"/>
    </font>
    <font>
      <b val="true"/>
      <sz val="22"/>
      <color rgb="FF69C7BD"/>
      <name val="Arial"/>
      <family val="0"/>
      <charset val="1"/>
    </font>
    <font>
      <b val="true"/>
      <sz val="9"/>
      <color rgb="FF1E8E63"/>
      <name val="Arial"/>
      <family val="0"/>
      <charset val="1"/>
    </font>
    <font>
      <b val="true"/>
      <sz val="9"/>
      <color rgb="FF69C7BD"/>
      <name val="Arial"/>
      <family val="0"/>
      <charset val="1"/>
    </font>
    <font>
      <b val="true"/>
      <sz val="8"/>
      <color rgb="FF1E8E63"/>
      <name val="Arial"/>
      <family val="0"/>
      <charset val="1"/>
    </font>
    <font>
      <b val="true"/>
      <sz val="9"/>
      <color rgb="FF0F1B2D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0F1B2D"/>
      <name val="Arial"/>
      <family val="0"/>
      <charset val="1"/>
    </font>
    <font>
      <b val="true"/>
      <sz val="12"/>
      <color rgb="FF1F6F6B"/>
      <name val="Arial"/>
      <family val="0"/>
      <charset val="1"/>
    </font>
    <font>
      <b val="true"/>
      <sz val="10"/>
      <color rgb="FF0F1B2D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1"/>
      <color rgb="FF1F6F6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B2D"/>
        <bgColor rgb="FF11203A"/>
      </patternFill>
    </fill>
    <fill>
      <patternFill patternType="solid">
        <fgColor rgb="FFFFFFFF"/>
        <bgColor rgb="FFF9F9F9"/>
      </patternFill>
    </fill>
    <fill>
      <patternFill patternType="solid">
        <fgColor rgb="FFEEF2F8"/>
        <bgColor rgb="FFEEF2F7"/>
      </patternFill>
    </fill>
    <fill>
      <patternFill patternType="solid">
        <fgColor rgb="FFE5F0EF"/>
        <bgColor rgb="FFE7ECF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E7ECF3"/>
      </left>
      <right style="thin">
        <color rgb="FFE7ECF3"/>
      </right>
      <top style="thin">
        <color rgb="FFE7ECF3"/>
      </top>
      <bottom style="thin">
        <color rgb="FFE7ECF3"/>
      </bottom>
      <diagonal/>
    </border>
    <border diagonalUp="false" diagonalDown="false">
      <left/>
      <right/>
      <top/>
      <bottom style="thin">
        <color rgb="FFEEF2F7"/>
      </bottom>
      <diagonal/>
    </border>
    <border diagonalUp="false" diagonalDown="false">
      <left/>
      <right/>
      <top style="thin">
        <color rgb="FF33415C"/>
      </top>
      <bottom/>
      <diagonal/>
    </border>
    <border diagonalUp="false" diagonalDown="false">
      <left style="thin">
        <color rgb="FFD9E0EA"/>
      </left>
      <right style="thin">
        <color rgb="FFD9E0EA"/>
      </right>
      <top style="thin">
        <color rgb="FFD9E0EA"/>
      </top>
      <bottom style="thin">
        <color rgb="FFD9E0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9" fontId="11" fillId="3" borderId="1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70" fontId="13" fillId="3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6B"/>
      <rgbColor rgb="FF9FB2CC"/>
      <rgbColor rgb="FF878787"/>
      <rgbColor rgb="FF9999FF"/>
      <rgbColor rgb="FF993366"/>
      <rgbColor rgb="FFF9F9F9"/>
      <rgbColor rgb="FFE5F0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CF3"/>
      <rgbColor rgb="FFEEF2F7"/>
      <rgbColor rgb="FFEEF2F8"/>
      <rgbColor rgb="FF99CCFF"/>
      <rgbColor rgb="FFFF99CC"/>
      <rgbColor rgb="FFCC99FF"/>
      <rgbColor rgb="FFD9E0EA"/>
      <rgbColor rgb="FF3366FF"/>
      <rgbColor rgb="FF69C7BD"/>
      <rgbColor rgb="FF99CC00"/>
      <rgbColor rgb="FFFFCC00"/>
      <rgbColor rgb="FFFF9900"/>
      <rgbColor rgb="FFFF6600"/>
      <rgbColor rgb="FF6B7892"/>
      <rgbColor rgb="FF969696"/>
      <rgbColor rgb="FF11203A"/>
      <rgbColor rgb="FF1E8E63"/>
      <rgbColor rgb="FF0F1B2D"/>
      <rgbColor rgb="FF333300"/>
      <rgbColor rgb="FF993300"/>
      <rgbColor rgb="FF993366"/>
      <rgbColor rgb="FF333399"/>
      <rgbColor rgb="FF3341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6F6B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Dashboard!$Y$5:$Y$8</c:f>
              <c:strCache>
                <c:ptCount val="4"/>
                <c:pt idx="0">
                  <c:v>8.7x</c:v>
                </c:pt>
                <c:pt idx="1">
                  <c:v>10.0x</c:v>
                </c:pt>
                <c:pt idx="2">
                  <c:v>11.0x</c:v>
                </c:pt>
                <c:pt idx="3">
                  <c:v>13.0x</c:v>
                </c:pt>
              </c:strCache>
            </c:strRef>
          </c:cat>
          <c:val>
            <c:numRef>
              <c:f>Dashboard!$Z$5:$Z$8</c:f>
              <c:numCache>
                <c:formatCode>#,##0</c:formatCode>
                <c:ptCount val="4"/>
                <c:pt idx="0">
                  <c:v>699.82593559617</c:v>
                </c:pt>
                <c:pt idx="1">
                  <c:v>793.733681462141</c:v>
                </c:pt>
                <c:pt idx="2">
                  <c:v>865.970409051349</c:v>
                </c:pt>
                <c:pt idx="3">
                  <c:v>1010.44386422976</c:v>
                </c:pt>
              </c:numCache>
            </c:numRef>
          </c:val>
        </c:ser>
        <c:gapWidth val="150"/>
        <c:overlap val="0"/>
        <c:axId val="75496129"/>
        <c:axId val="39848792"/>
      </c:barChart>
      <c:catAx>
        <c:axId val="754961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EV/EBITDA multiple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848792"/>
        <c:crosses val="autoZero"/>
        <c:auto val="1"/>
        <c:lblAlgn val="ctr"/>
        <c:lblOffset val="100"/>
        <c:noMultiLvlLbl val="0"/>
      </c:catAx>
      <c:valAx>
        <c:axId val="398487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Value / share (p)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4961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0</xdr:rowOff>
    </xdr:from>
    <xdr:to>
      <xdr:col>7</xdr:col>
      <xdr:colOff>609480</xdr:colOff>
      <xdr:row>23</xdr:row>
      <xdr:rowOff>68400</xdr:rowOff>
    </xdr:to>
    <xdr:graphicFrame>
      <xdr:nvGraphicFramePr>
        <xdr:cNvPr id="1" name="Chart 1"/>
        <xdr:cNvGraphicFramePr/>
      </xdr:nvGraphicFramePr>
      <xdr:xfrm>
        <a:off x="648360" y="2019240"/>
        <a:ext cx="44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Z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7" min="1" style="0" width="9.2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customFormat="false" ht="15" hidden="false" customHeight="false" outlineLevel="0" collapsed="false">
      <c r="B5" s="3" t="s">
        <v>2</v>
      </c>
      <c r="C5" s="3"/>
      <c r="D5" s="3"/>
      <c r="F5" s="3" t="s">
        <v>3</v>
      </c>
      <c r="G5" s="3"/>
      <c r="H5" s="3"/>
      <c r="J5" s="4" t="s">
        <v>4</v>
      </c>
      <c r="K5" s="4"/>
      <c r="L5" s="4"/>
      <c r="N5" s="3" t="s">
        <v>5</v>
      </c>
      <c r="O5" s="3"/>
      <c r="P5" s="3"/>
      <c r="Y5" s="5" t="s">
        <v>6</v>
      </c>
      <c r="Z5" s="6" t="n">
        <f aca="false">Valuation!D21</f>
        <v>699.82593559617</v>
      </c>
    </row>
    <row r="6" customFormat="false" ht="24" hidden="false" customHeight="true" outlineLevel="0" collapsed="false">
      <c r="B6" s="7" t="n">
        <f aca="false">Valuation!B3</f>
        <v>632</v>
      </c>
      <c r="C6" s="7"/>
      <c r="D6" s="7"/>
      <c r="F6" s="7" t="n">
        <f aca="false">Valuation!B29</f>
        <v>785</v>
      </c>
      <c r="G6" s="7"/>
      <c r="H6" s="7"/>
      <c r="J6" s="8" t="s">
        <v>7</v>
      </c>
      <c r="K6" s="8"/>
      <c r="L6" s="8"/>
      <c r="N6" s="9" t="n">
        <f aca="false">Valuation!B11</f>
        <v>8.70497297297298</v>
      </c>
      <c r="O6" s="9"/>
      <c r="P6" s="9"/>
      <c r="Y6" s="5" t="s">
        <v>8</v>
      </c>
      <c r="Z6" s="6" t="n">
        <f aca="false">Valuation!D22</f>
        <v>793.733681462141</v>
      </c>
    </row>
    <row r="7" customFormat="false" ht="15" hidden="false" customHeight="false" outlineLevel="0" collapsed="false">
      <c r="B7" s="10" t="s">
        <v>9</v>
      </c>
      <c r="C7" s="10"/>
      <c r="D7" s="10"/>
      <c r="F7" s="11" t="n">
        <f aca="false">Valuation!B29/Valuation!B3-1</f>
        <v>0.242088607594937</v>
      </c>
      <c r="G7" s="11"/>
      <c r="H7" s="11"/>
      <c r="J7" s="12" t="s">
        <v>10</v>
      </c>
      <c r="K7" s="12"/>
      <c r="L7" s="12"/>
      <c r="N7" s="13" t="s">
        <v>11</v>
      </c>
      <c r="O7" s="13"/>
      <c r="P7" s="13"/>
      <c r="Y7" s="5" t="s">
        <v>12</v>
      </c>
      <c r="Z7" s="6" t="n">
        <f aca="false">Valuation!D23</f>
        <v>865.970409051349</v>
      </c>
    </row>
    <row r="8" customFormat="false" ht="15" hidden="false" customHeight="false" outlineLevel="0" collapsed="false">
      <c r="Y8" s="5" t="s">
        <v>13</v>
      </c>
      <c r="Z8" s="6" t="n">
        <f aca="false">Valuation!D24</f>
        <v>1010.44386422976</v>
      </c>
    </row>
    <row r="9" customFormat="false" ht="15" hidden="false" customHeight="false" outlineLevel="0" collapsed="false">
      <c r="B9" s="14" t="s">
        <v>14</v>
      </c>
      <c r="J9" s="14" t="s">
        <v>15</v>
      </c>
    </row>
    <row r="11" customFormat="false" ht="15" hidden="false" customHeight="false" outlineLevel="0" collapsed="false">
      <c r="J11" s="15" t="s">
        <v>16</v>
      </c>
      <c r="K11" s="15"/>
      <c r="L11" s="15"/>
      <c r="M11" s="15"/>
      <c r="N11" s="15"/>
      <c r="O11" s="16" t="n">
        <f aca="false">Valuation!B3</f>
        <v>632</v>
      </c>
      <c r="P11" s="16"/>
      <c r="Q11" s="16"/>
    </row>
    <row r="12" customFormat="false" ht="15" hidden="false" customHeight="false" outlineLevel="0" collapsed="false">
      <c r="J12" s="15" t="s">
        <v>17</v>
      </c>
      <c r="K12" s="15"/>
      <c r="L12" s="15"/>
      <c r="M12" s="15"/>
      <c r="N12" s="15"/>
      <c r="O12" s="16" t="n">
        <f aca="false">Valuation!B29</f>
        <v>785</v>
      </c>
      <c r="P12" s="16"/>
      <c r="Q12" s="16"/>
    </row>
    <row r="13" customFormat="false" ht="15" hidden="false" customHeight="false" outlineLevel="0" collapsed="false">
      <c r="J13" s="15" t="s">
        <v>18</v>
      </c>
      <c r="K13" s="15"/>
      <c r="L13" s="15"/>
      <c r="M13" s="15"/>
      <c r="N13" s="15"/>
      <c r="O13" s="17" t="n">
        <f aca="false">Valuation!B29/Valuation!B3-1</f>
        <v>0.242088607594937</v>
      </c>
      <c r="P13" s="17"/>
      <c r="Q13" s="17"/>
    </row>
    <row r="14" customFormat="false" ht="15" hidden="false" customHeight="false" outlineLevel="0" collapsed="false">
      <c r="J14" s="15" t="s">
        <v>19</v>
      </c>
      <c r="K14" s="15"/>
      <c r="L14" s="15"/>
      <c r="M14" s="15"/>
      <c r="N14" s="15"/>
      <c r="O14" s="18" t="n">
        <f aca="false">Valuation!B5</f>
        <v>726.168</v>
      </c>
      <c r="P14" s="18"/>
      <c r="Q14" s="18"/>
    </row>
    <row r="15" customFormat="false" ht="15" hidden="false" customHeight="false" outlineLevel="0" collapsed="false">
      <c r="J15" s="15" t="s">
        <v>20</v>
      </c>
      <c r="K15" s="15"/>
      <c r="L15" s="15"/>
      <c r="M15" s="15"/>
      <c r="N15" s="15"/>
      <c r="O15" s="18" t="n">
        <f aca="false">-Valuation!B6</f>
        <v>82</v>
      </c>
      <c r="P15" s="18"/>
      <c r="Q15" s="18"/>
    </row>
    <row r="16" customFormat="false" ht="15" hidden="false" customHeight="false" outlineLevel="0" collapsed="false">
      <c r="J16" s="15" t="s">
        <v>21</v>
      </c>
      <c r="K16" s="15"/>
      <c r="L16" s="15"/>
      <c r="M16" s="15"/>
      <c r="N16" s="15"/>
      <c r="O16" s="19" t="n">
        <f aca="false">Valuation!B11</f>
        <v>8.70497297297298</v>
      </c>
      <c r="P16" s="19"/>
      <c r="Q16" s="19"/>
    </row>
    <row r="17" customFormat="false" ht="15" hidden="false" customHeight="false" outlineLevel="0" collapsed="false">
      <c r="J17" s="15" t="s">
        <v>22</v>
      </c>
      <c r="K17" s="15"/>
      <c r="L17" s="15"/>
      <c r="M17" s="15"/>
      <c r="N17" s="15"/>
      <c r="O17" s="19" t="n">
        <f aca="false">Valuation!B13</f>
        <v>15.4175796178344</v>
      </c>
      <c r="P17" s="19"/>
      <c r="Q17" s="19"/>
    </row>
    <row r="18" customFormat="false" ht="15" hidden="false" customHeight="false" outlineLevel="0" collapsed="false">
      <c r="J18" s="15" t="s">
        <v>23</v>
      </c>
      <c r="K18" s="15"/>
      <c r="L18" s="15"/>
      <c r="M18" s="15"/>
      <c r="N18" s="15"/>
      <c r="O18" s="17" t="n">
        <f aca="false">Valuation!B14</f>
        <v>0.0300632911392405</v>
      </c>
      <c r="P18" s="17"/>
      <c r="Q18" s="17"/>
    </row>
    <row r="19" customFormat="false" ht="15" hidden="false" customHeight="false" outlineLevel="0" collapsed="false">
      <c r="J19" s="15" t="s">
        <v>24</v>
      </c>
      <c r="K19" s="15"/>
      <c r="L19" s="15"/>
      <c r="M19" s="15"/>
      <c r="N19" s="15"/>
      <c r="O19" s="20" t="s">
        <v>25</v>
      </c>
      <c r="P19" s="20"/>
      <c r="Q19" s="20"/>
    </row>
    <row r="26" customFormat="false" ht="15" hidden="false" customHeight="true" outlineLevel="0" collapsed="false">
      <c r="B26" s="21" t="s">
        <v>26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</row>
    <row r="27" customFormat="false" ht="15" hidden="false" customHeight="false" outlineLevel="0" collapsed="false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 customFormat="false" ht="15" hidden="false" customHeight="false" outlineLevel="0" collapsed="false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</row>
    <row r="29" customFormat="false" ht="15" hidden="false" customHeight="false" outlineLevel="0" collapsed="false"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</row>
  </sheetData>
  <mergeCells count="33">
    <mergeCell ref="B2:Q2"/>
    <mergeCell ref="B3:Q3"/>
    <mergeCell ref="B5:D5"/>
    <mergeCell ref="F5:H5"/>
    <mergeCell ref="J5:L5"/>
    <mergeCell ref="N5:P5"/>
    <mergeCell ref="B6:D6"/>
    <mergeCell ref="F6:H6"/>
    <mergeCell ref="J6:L6"/>
    <mergeCell ref="N6:P6"/>
    <mergeCell ref="B7:D7"/>
    <mergeCell ref="F7:H7"/>
    <mergeCell ref="J7:L7"/>
    <mergeCell ref="N7:P7"/>
    <mergeCell ref="J11:N11"/>
    <mergeCell ref="O11:Q11"/>
    <mergeCell ref="J12:N12"/>
    <mergeCell ref="O12:Q12"/>
    <mergeCell ref="J13:N13"/>
    <mergeCell ref="O13:Q13"/>
    <mergeCell ref="J14:N14"/>
    <mergeCell ref="O14:Q14"/>
    <mergeCell ref="J15:N15"/>
    <mergeCell ref="O15:Q15"/>
    <mergeCell ref="J16:N16"/>
    <mergeCell ref="O16:Q16"/>
    <mergeCell ref="J17:N17"/>
    <mergeCell ref="O17:Q17"/>
    <mergeCell ref="J18:N18"/>
    <mergeCell ref="O18:Q18"/>
    <mergeCell ref="J19:N19"/>
    <mergeCell ref="O19:Q19"/>
    <mergeCell ref="B26:Q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2"/>
  </cols>
  <sheetData>
    <row r="2" customFormat="false" ht="22.05" hidden="false" customHeight="false" outlineLevel="0" collapsed="false">
      <c r="B2" s="22" t="s">
        <v>27</v>
      </c>
    </row>
    <row r="3" customFormat="false" ht="15" hidden="false" customHeight="false" outlineLevel="0" collapsed="false">
      <c r="B3" s="23" t="s">
        <v>28</v>
      </c>
    </row>
    <row r="4" customFormat="false" ht="15" hidden="false" customHeight="false" outlineLevel="0" collapsed="false">
      <c r="B4" s="5" t="s">
        <v>29</v>
      </c>
    </row>
    <row r="6" customFormat="false" ht="15" hidden="false" customHeight="false" outlineLevel="0" collapsed="false">
      <c r="B6" s="24" t="s">
        <v>30</v>
      </c>
    </row>
    <row r="7" customFormat="false" ht="42" hidden="false" customHeight="true" outlineLevel="0" collapsed="false">
      <c r="B7" s="25" t="s">
        <v>31</v>
      </c>
    </row>
    <row r="9" customFormat="false" ht="15" hidden="false" customHeight="false" outlineLevel="0" collapsed="false">
      <c r="B9" s="24" t="s">
        <v>32</v>
      </c>
    </row>
    <row r="10" customFormat="false" ht="42" hidden="false" customHeight="true" outlineLevel="0" collapsed="false">
      <c r="B10" s="25" t="s">
        <v>33</v>
      </c>
    </row>
    <row r="12" customFormat="false" ht="15" hidden="false" customHeight="false" outlineLevel="0" collapsed="false">
      <c r="B12" s="24" t="s">
        <v>34</v>
      </c>
    </row>
    <row r="13" customFormat="false" ht="42" hidden="false" customHeight="true" outlineLevel="0" collapsed="false">
      <c r="B13" s="25" t="s">
        <v>35</v>
      </c>
    </row>
    <row r="15" customFormat="false" ht="15" hidden="false" customHeight="false" outlineLevel="0" collapsed="false">
      <c r="B15" s="24" t="s">
        <v>36</v>
      </c>
    </row>
    <row r="16" customFormat="false" ht="42" hidden="false" customHeight="true" outlineLevel="0" collapsed="false">
      <c r="B16" s="25" t="s">
        <v>37</v>
      </c>
    </row>
    <row r="18" customFormat="false" ht="15" hidden="false" customHeight="false" outlineLevel="0" collapsed="false">
      <c r="B18" s="24" t="s">
        <v>38</v>
      </c>
    </row>
    <row r="19" customFormat="false" ht="42" hidden="false" customHeight="true" outlineLevel="0" collapsed="false">
      <c r="B19" s="25" t="s">
        <v>39</v>
      </c>
    </row>
    <row r="21" customFormat="false" ht="15" hidden="false" customHeight="false" outlineLevel="0" collapsed="false">
      <c r="B21" s="24" t="s">
        <v>40</v>
      </c>
    </row>
    <row r="22" customFormat="false" ht="69.75" hidden="false" customHeight="true" outlineLevel="0" collapsed="false">
      <c r="B22" s="25" t="s">
        <v>41</v>
      </c>
    </row>
    <row r="24" customFormat="false" ht="15" hidden="false" customHeight="false" outlineLevel="0" collapsed="false">
      <c r="B24" s="24" t="s">
        <v>42</v>
      </c>
    </row>
    <row r="25" customFormat="false" ht="27.75" hidden="false" customHeight="true" outlineLevel="0" collapsed="false">
      <c r="B25" s="25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3"/>
  </cols>
  <sheetData>
    <row r="1" customFormat="false" ht="17.35" hidden="false" customHeight="false" outlineLevel="0" collapsed="false">
      <c r="A1" s="26" t="s">
        <v>44</v>
      </c>
      <c r="B1" s="26"/>
      <c r="C1" s="26"/>
      <c r="D1" s="26"/>
      <c r="E1" s="26"/>
    </row>
    <row r="3" customFormat="false" ht="15" hidden="false" customHeight="false" outlineLevel="0" collapsed="false">
      <c r="A3" s="27" t="s">
        <v>16</v>
      </c>
      <c r="B3" s="28" t="n">
        <v>632</v>
      </c>
    </row>
    <row r="4" customFormat="false" ht="15" hidden="false" customHeight="false" outlineLevel="0" collapsed="false">
      <c r="A4" s="27" t="s">
        <v>45</v>
      </c>
      <c r="B4" s="29" t="n">
        <v>114.9</v>
      </c>
    </row>
    <row r="5" customFormat="false" ht="15" hidden="false" customHeight="false" outlineLevel="0" collapsed="false">
      <c r="A5" s="30" t="s">
        <v>46</v>
      </c>
      <c r="B5" s="31" t="n">
        <f aca="false">B3/100*B4</f>
        <v>726.168</v>
      </c>
    </row>
    <row r="6" customFormat="false" ht="15" hidden="false" customHeight="false" outlineLevel="0" collapsed="false">
      <c r="A6" s="27" t="s">
        <v>47</v>
      </c>
      <c r="B6" s="32" t="n">
        <v>-82</v>
      </c>
    </row>
    <row r="7" customFormat="false" ht="15" hidden="false" customHeight="false" outlineLevel="0" collapsed="false">
      <c r="A7" s="30" t="s">
        <v>48</v>
      </c>
      <c r="B7" s="31" t="n">
        <f aca="false">B5+B6</f>
        <v>644.168</v>
      </c>
    </row>
    <row r="9" customFormat="false" ht="15" hidden="false" customHeight="false" outlineLevel="0" collapsed="false">
      <c r="A9" s="27" t="s">
        <v>49</v>
      </c>
      <c r="B9" s="32" t="n">
        <v>437.3</v>
      </c>
    </row>
    <row r="10" customFormat="false" ht="15" hidden="false" customHeight="false" outlineLevel="0" collapsed="false">
      <c r="A10" s="27" t="s">
        <v>50</v>
      </c>
      <c r="B10" s="32" t="n">
        <v>74</v>
      </c>
    </row>
    <row r="11" customFormat="false" ht="15" hidden="false" customHeight="false" outlineLevel="0" collapsed="false">
      <c r="A11" s="30" t="s">
        <v>21</v>
      </c>
      <c r="B11" s="33" t="n">
        <f aca="false">B7/B10</f>
        <v>8.70497297297298</v>
      </c>
    </row>
    <row r="12" customFormat="false" ht="15" hidden="false" customHeight="false" outlineLevel="0" collapsed="false">
      <c r="A12" s="27" t="s">
        <v>51</v>
      </c>
      <c r="B12" s="32" t="n">
        <v>47.1</v>
      </c>
    </row>
    <row r="13" customFormat="false" ht="15" hidden="false" customHeight="false" outlineLevel="0" collapsed="false">
      <c r="A13" s="27" t="s">
        <v>22</v>
      </c>
      <c r="B13" s="34" t="n">
        <f aca="false">B5/B12</f>
        <v>15.4175796178344</v>
      </c>
    </row>
    <row r="14" customFormat="false" ht="15" hidden="false" customHeight="false" outlineLevel="0" collapsed="false">
      <c r="A14" s="27" t="s">
        <v>23</v>
      </c>
      <c r="B14" s="35" t="n">
        <f aca="false">B15/B3</f>
        <v>0.0300632911392405</v>
      </c>
    </row>
    <row r="15" customFormat="false" ht="15" hidden="false" customHeight="false" outlineLevel="0" collapsed="false">
      <c r="A15" s="27" t="s">
        <v>52</v>
      </c>
      <c r="B15" s="28" t="n">
        <v>19</v>
      </c>
    </row>
    <row r="17" customFormat="false" ht="15" hidden="false" customHeight="false" outlineLevel="0" collapsed="false">
      <c r="A17" s="24" t="s">
        <v>53</v>
      </c>
    </row>
    <row r="18" customFormat="false" ht="15" hidden="false" customHeight="false" outlineLevel="0" collapsed="false">
      <c r="A18" s="27" t="s">
        <v>54</v>
      </c>
      <c r="B18" s="32" t="n">
        <v>83</v>
      </c>
    </row>
    <row r="20" customFormat="false" ht="15" hidden="false" customHeight="false" outlineLevel="0" collapsed="false">
      <c r="A20" s="36" t="s">
        <v>55</v>
      </c>
      <c r="B20" s="36" t="s">
        <v>56</v>
      </c>
      <c r="C20" s="36" t="s">
        <v>57</v>
      </c>
      <c r="D20" s="36" t="s">
        <v>58</v>
      </c>
    </row>
    <row r="21" customFormat="false" ht="15" hidden="false" customHeight="false" outlineLevel="0" collapsed="false">
      <c r="A21" s="34" t="n">
        <v>8.7</v>
      </c>
      <c r="B21" s="37" t="n">
        <f aca="false">$B$18*A21</f>
        <v>722.1</v>
      </c>
      <c r="C21" s="37" t="n">
        <f aca="false">B21-$B$6</f>
        <v>804.1</v>
      </c>
      <c r="D21" s="38" t="n">
        <f aca="false">C21/$B$4*100</f>
        <v>699.82593559617</v>
      </c>
    </row>
    <row r="22" customFormat="false" ht="15" hidden="false" customHeight="false" outlineLevel="0" collapsed="false">
      <c r="A22" s="39" t="n">
        <v>10</v>
      </c>
      <c r="B22" s="40" t="n">
        <f aca="false">$B$18*A22</f>
        <v>830</v>
      </c>
      <c r="C22" s="40" t="n">
        <f aca="false">B22-$B$6</f>
        <v>912</v>
      </c>
      <c r="D22" s="41" t="n">
        <f aca="false">C22/$B$4*100</f>
        <v>793.733681462141</v>
      </c>
    </row>
    <row r="23" customFormat="false" ht="15" hidden="false" customHeight="false" outlineLevel="0" collapsed="false">
      <c r="A23" s="34" t="n">
        <v>11</v>
      </c>
      <c r="B23" s="37" t="n">
        <f aca="false">$B$18*A23</f>
        <v>913</v>
      </c>
      <c r="C23" s="37" t="n">
        <f aca="false">B23-$B$6</f>
        <v>995</v>
      </c>
      <c r="D23" s="38" t="n">
        <f aca="false">C23/$B$4*100</f>
        <v>865.970409051349</v>
      </c>
    </row>
    <row r="24" customFormat="false" ht="15" hidden="false" customHeight="false" outlineLevel="0" collapsed="false">
      <c r="A24" s="34" t="n">
        <v>13</v>
      </c>
      <c r="B24" s="37" t="n">
        <f aca="false">$B$18*A24</f>
        <v>1079</v>
      </c>
      <c r="C24" s="37" t="n">
        <f aca="false">B24-$B$6</f>
        <v>1161</v>
      </c>
      <c r="D24" s="38" t="n">
        <f aca="false">C24/$B$4*100</f>
        <v>1010.44386422976</v>
      </c>
    </row>
    <row r="26" customFormat="false" ht="15" hidden="false" customHeight="false" outlineLevel="0" collapsed="false">
      <c r="A26" s="5" t="s">
        <v>59</v>
      </c>
    </row>
    <row r="27" customFormat="false" ht="15" hidden="false" customHeight="false" outlineLevel="0" collapsed="false">
      <c r="A27" s="5" t="s">
        <v>60</v>
      </c>
    </row>
    <row r="29" customFormat="false" ht="15" hidden="false" customHeight="false" outlineLevel="0" collapsed="false">
      <c r="A29" s="30" t="s">
        <v>61</v>
      </c>
      <c r="B29" s="42" t="n">
        <v>785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43" t="s">
        <v>62</v>
      </c>
    </row>
    <row r="3" customFormat="false" ht="15" hidden="false" customHeight="false" outlineLevel="0" collapsed="false">
      <c r="A3" s="44" t="s">
        <v>63</v>
      </c>
    </row>
    <row r="4" customFormat="false" ht="27.75" hidden="false" customHeight="true" outlineLevel="0" collapsed="false">
      <c r="A4" s="25" t="s">
        <v>64</v>
      </c>
    </row>
    <row r="5" customFormat="false" ht="42" hidden="false" customHeight="true" outlineLevel="0" collapsed="false">
      <c r="A5" s="25" t="s">
        <v>65</v>
      </c>
    </row>
    <row r="6" customFormat="false" ht="27.75" hidden="false" customHeight="true" outlineLevel="0" collapsed="false">
      <c r="A6" s="25" t="s">
        <v>66</v>
      </c>
    </row>
    <row r="8" customFormat="false" ht="15" hidden="false" customHeight="false" outlineLevel="0" collapsed="false">
      <c r="A8" s="44" t="s">
        <v>67</v>
      </c>
    </row>
    <row r="9" customFormat="false" ht="13.5" hidden="false" customHeight="true" outlineLevel="0" collapsed="false">
      <c r="A9" s="25" t="s">
        <v>68</v>
      </c>
    </row>
    <row r="10" customFormat="false" ht="13.5" hidden="false" customHeight="true" outlineLevel="0" collapsed="false">
      <c r="A10" s="25" t="s">
        <v>69</v>
      </c>
    </row>
    <row r="11" customFormat="false" ht="27.75" hidden="false" customHeight="true" outlineLevel="0" collapsed="false">
      <c r="A11" s="25" t="s">
        <v>70</v>
      </c>
    </row>
    <row r="12" customFormat="false" ht="13.5" hidden="false" customHeight="true" outlineLevel="0" collapsed="false">
      <c r="A12" s="25" t="s">
        <v>71</v>
      </c>
    </row>
    <row r="14" customFormat="false" ht="15" hidden="false" customHeight="false" outlineLevel="0" collapsed="false">
      <c r="A14" s="44" t="s">
        <v>72</v>
      </c>
    </row>
    <row r="15" customFormat="false" ht="27.75" hidden="false" customHeight="true" outlineLevel="0" collapsed="false">
      <c r="A15" s="25" t="s">
        <v>73</v>
      </c>
    </row>
    <row r="16" customFormat="false" ht="13.5" hidden="false" customHeight="true" outlineLevel="0" collapsed="false">
      <c r="A16" s="25" t="s">
        <v>74</v>
      </c>
    </row>
    <row r="17" customFormat="false" ht="13.5" hidden="false" customHeight="true" outlineLevel="0" collapsed="false">
      <c r="A17" s="25" t="s">
        <v>75</v>
      </c>
    </row>
    <row r="18" customFormat="false" ht="27.75" hidden="false" customHeight="true" outlineLevel="0" collapsed="false">
      <c r="A18" s="25" t="s">
        <v>76</v>
      </c>
    </row>
    <row r="19" customFormat="false" ht="27.75" hidden="false" customHeight="true" outlineLevel="0" collapsed="false">
      <c r="A19" s="25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2026-07-02T01:31:08Z</dcterms:created>
  <dc:creator>openpyxl</dc:creator>
  <dc:description/>
  <dc:language>en-US</dc:language>
  <cp:lastModifiedBy/>
  <dcterms:modified xsi:type="dcterms:W3CDTF">2026-07-02T02:31:09Z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