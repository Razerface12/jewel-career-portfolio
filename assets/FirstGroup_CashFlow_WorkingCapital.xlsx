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 Me" sheetId="2" state="visible" r:id="rId4"/>
    <sheet name="Cash Flow Bridge" sheetId="3" state="visible" r:id="rId5"/>
    <sheet name="Working Capital" sheetId="4" state="visible" r:id="rId6"/>
    <sheet name="P&amp;L &amp; Returns" sheetId="5" state="visible" r:id="rId7"/>
  </sheets>
  <definedNames>
    <definedName function="false" hidden="false" localSheetId="0" name="_xlnm.Print_Area" vbProcedure="false">Dashboard!$A$1:$T$40</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JT</author>
  </authors>
  <commentList>
    <comment ref="B4" authorId="0">
      <text>
        <r>
          <rPr>
            <sz val="10"/>
            <rFont val="Arial"/>
            <family val="2"/>
          </rPr>
          <t xml:space="preserve">Source: FirstGroup plc FY2025 results (52 weeks to 29 Mar 2025), released 10 Jun 2025; firstgroupplc.com. Adjusted EBITDA includes IFRS 16 lease add-backs.</t>
        </r>
      </text>
    </comment>
  </commentList>
</comments>
</file>

<file path=xl/comments5.xml><?xml version="1.0" encoding="utf-8"?>
<comments xmlns="http://schemas.openxmlformats.org/spreadsheetml/2006/main" xmlns:xdr="http://schemas.openxmlformats.org/drawingml/2006/spreadsheetDrawing">
  <authors>
    <author>JT</author>
  </authors>
  <commentList>
    <comment ref="B4" authorId="0">
      <text>
        <r>
          <rPr>
            <sz val="10"/>
            <rFont val="Arial"/>
            <family val="2"/>
          </rPr>
          <t xml:space="preserve">Revenue: FY25 GBP 5,069m, FY24 GBP 4,724m (reported); FY23 ~GBP 4,756m (approx). Source: FirstGroup plc FY2025 results (52 weeks to 29 Mar 2025), released 10 Jun 2025; firstgroupplc.com.</t>
        </r>
      </text>
    </comment>
    <comment ref="B5" authorId="0">
      <text>
        <r>
          <rPr>
            <sz val="10"/>
            <rFont val="Arial"/>
            <family val="2"/>
          </rPr>
          <t xml:space="preserve">Adjusted operating profit FY23 161.0, FY24 204.3, FY25 222.8. Source: FirstGroup plc FY2025 results (52 weeks to 29 Mar 2025), released 10 Jun 2025; firstgroupplc.com.</t>
        </r>
      </text>
    </comment>
  </commentList>
</comments>
</file>

<file path=xl/sharedStrings.xml><?xml version="1.0" encoding="utf-8"?>
<sst xmlns="http://schemas.openxmlformats.org/spreadsheetml/2006/main" count="102" uniqueCount="86">
  <si>
    <t xml:space="preserve">FIRSTGROUP PLC  -  Cash Flow &amp; Working Capital Analysis</t>
  </si>
  <si>
    <t xml:space="preserve">Adj EBITDA</t>
  </si>
  <si>
    <t xml:space="preserve">Equity research case study  |  Prepared by Jewel Thomas  |  GBP millions unless stated  |  FY ends late March  |  Reported actuals</t>
  </si>
  <si>
    <t xml:space="preserve">Working capital</t>
  </si>
  <si>
    <t xml:space="preserve">Other operating</t>
  </si>
  <si>
    <t xml:space="preserve">FY25 REVENUE</t>
  </si>
  <si>
    <t xml:space="preserve">CASH FROM OPERATIONS</t>
  </si>
  <si>
    <t xml:space="preserve">FREE CASH FLOW</t>
  </si>
  <si>
    <t xml:space="preserve">WORKING CAPITAL (FY25)</t>
  </si>
  <si>
    <t xml:space="preserve">Cash from ops</t>
  </si>
  <si>
    <t xml:space="preserve">inflow vs (106)m outflow FY24</t>
  </si>
  <si>
    <t xml:space="preserve">FY2024</t>
  </si>
  <si>
    <t xml:space="preserve">OPERATING CASH FLOW BRIDGE - FY25 (GBP m)</t>
  </si>
  <si>
    <t xml:space="preserve">WORKING CAPITAL SWING (GBP m)</t>
  </si>
  <si>
    <t xml:space="preserve">FY2025</t>
  </si>
  <si>
    <t xml:space="preserve">KEY METRICS (FY2025 vs FY2024)</t>
  </si>
  <si>
    <t xml:space="preserve">Revenue (GBP m)</t>
  </si>
  <si>
    <t xml:space="preserve">Adjusted operating profit (GBP m)</t>
  </si>
  <si>
    <t xml:space="preserve">Adjusted operating margin</t>
  </si>
  <si>
    <t xml:space="preserve">Cash generated by operations (GBP m)</t>
  </si>
  <si>
    <t xml:space="preserve">Cash conversion (OCF / Adj EBITDA)</t>
  </si>
  <si>
    <t xml:space="preserve">Free cash flow (GBP m)</t>
  </si>
  <si>
    <t xml:space="preserve">Capital returned to shareholders (GBP m)</t>
  </si>
  <si>
    <t xml:space="preserve">Dividend per share (pence)</t>
  </si>
  <si>
    <t xml:space="preserve">Adjusted net debt/(cash) (GBP m)</t>
  </si>
  <si>
    <t xml:space="preserve">All figures reported actuals from FirstGroup FY2025 results. Detail and sources on the Cash Flow Bridge, Working Capital and P&amp;L &amp; Returns tabs.</t>
  </si>
  <si>
    <t xml:space="preserve">FIRSTGROUP PLC</t>
  </si>
  <si>
    <t xml:space="preserve">Cash Flow &amp; Working Capital Analysis</t>
  </si>
  <si>
    <t xml:space="preserve">Prepared by Jewel Thomas  |  Portfolio analysis  |  GBP millions unless stated  |  Financial years end late March</t>
  </si>
  <si>
    <t xml:space="preserve">PURPOSE</t>
  </si>
  <si>
    <t xml:space="preserve">A focused analysis of how a major UK transport operator (bus and rail) turns profit into cash - the operating cash-flow bridge, the swing in working capital, cash conversion, and how the cash is allocated between reinvestment and shareholder returns.</t>
  </si>
  <si>
    <t xml:space="preserve">WHY FIRSTGROUP</t>
  </si>
  <si>
    <t xml:space="preserve">Transport and rail businesses have distinctive working-capital dynamics: passenger income and government contract receipts are often collected ahead of the cost of delivering service, so working capital can be a structural source of cash - but it is volatile and contract-timing sensitive. FirstGroup is a clean case study of this.</t>
  </si>
  <si>
    <t xml:space="preserve">DATA INTEGRITY</t>
  </si>
  <si>
    <t xml:space="preserve">Unlike a forecast model, almost every figure here is reported actuals taken directly from FirstGroup's FY2025 results statement (which restates FY2024). Hardcoded reported figures are shown in blue with source notes. The only analyst-derived items are ratios (e.g. cash conversion) computed by formula from those reported figures.</t>
  </si>
  <si>
    <t xml:space="preserve">HEADLINE FINDINGS</t>
  </si>
  <si>
    <t xml:space="preserve">(1) Working capital swung from a GBP 106.1m OUTFLOW in FY2024 to a GBP 75.7m INFLOW in FY2025 - a c.GBP 182m swing, largely rail contract timing. (2) Cash generated by operations rose 32% to GBP 828.2m. (3) Free cash flow more than doubled to GBP 113.5m. (4) The group still returned GBP 126m to shareholders (dividends + buyback) and moved from net cash to modest adjusted net debt of GBP 86.9m after GBP 86.5m of acquisitions.</t>
  </si>
  <si>
    <t xml:space="preserve">HOW TO READ IT</t>
  </si>
  <si>
    <t xml:space="preserve">'Dashboard' = one-page summary. 'Cash Flow Bridge' = the full reported EBITDA-to-free-cash-flow bridge. 'Working Capital' = the swing, cash conversion and the structural explanation. 'P&amp;L &amp; Returns' = revenue, margin and capital allocation.</t>
  </si>
  <si>
    <t xml:space="preserve">SOURCES</t>
  </si>
  <si>
    <t xml:space="preserve">Source: FirstGroup plc FY2025 results (52 weeks to 29 Mar 2025), released 10 Jun 2025; firstgroupplc.com. Supporting figures cross-checked against FY2024 Annual Report and results coverage (Investegate, Nasdaq, Insider).</t>
  </si>
  <si>
    <t xml:space="preserve">DISCLAIMER</t>
  </si>
  <si>
    <t xml:space="preserve">For portfolio / educational purposes only. Not investment advice; not affiliated with or endorsed by FirstGroup plc.</t>
  </si>
  <si>
    <t xml:space="preserve">OPERATING CASH FLOW BRIDGE (GBP m)</t>
  </si>
  <si>
    <t xml:space="preserve">GBP millions</t>
  </si>
  <si>
    <t xml:space="preserve">FY2024A</t>
  </si>
  <si>
    <t xml:space="preserve">FY2025A</t>
  </si>
  <si>
    <t xml:space="preserve">Change</t>
  </si>
  <si>
    <t xml:space="preserve">Adjusted EBITDA</t>
  </si>
  <si>
    <t xml:space="preserve">Other non-cash items</t>
  </si>
  <si>
    <t xml:space="preserve">Working capital movement</t>
  </si>
  <si>
    <t xml:space="preserve">Movement in other provisions</t>
  </si>
  <si>
    <t xml:space="preserve">(Increase)/decrease in financial assets</t>
  </si>
  <si>
    <t xml:space="preserve">Settlement of FX hedge</t>
  </si>
  <si>
    <t xml:space="preserve">DB pension payments vs charge</t>
  </si>
  <si>
    <t xml:space="preserve">Cash generated by operations</t>
  </si>
  <si>
    <t xml:space="preserve">Net capital expenditure</t>
  </si>
  <si>
    <t xml:space="preserve">Proceeds from capital grant funding</t>
  </si>
  <si>
    <t xml:space="preserve">Acquisitions</t>
  </si>
  <si>
    <t xml:space="preserve">Proceeds from disposal of PP&amp;E</t>
  </si>
  <si>
    <t xml:space="preserve">Proceeds from contingent consideration</t>
  </si>
  <si>
    <t xml:space="preserve">Interest and tax</t>
  </si>
  <si>
    <t xml:space="preserve">Shares purchased for EBT</t>
  </si>
  <si>
    <t xml:space="preserve">Share buyback (incl costs)</t>
  </si>
  <si>
    <t xml:space="preserve">External dividends paid</t>
  </si>
  <si>
    <t xml:space="preserve">Dividends to non-controlling interests</t>
  </si>
  <si>
    <t xml:space="preserve">Free cash flow</t>
  </si>
  <si>
    <t xml:space="preserve">All line items reported in FirstGroup FY2025 results 'movement in net debt' bridge. Free cash flow as defined by the company.</t>
  </si>
  <si>
    <t xml:space="preserve">WORKING CAPITAL &amp; CASH CONVERSION</t>
  </si>
  <si>
    <t xml:space="preserve">Working capital movement (cash)</t>
  </si>
  <si>
    <t xml:space="preserve">Revenue</t>
  </si>
  <si>
    <t xml:space="preserve">Working capital as % of revenue</t>
  </si>
  <si>
    <t xml:space="preserve">WHY THE SWING (c. GBP 182m FY24 to FY25):</t>
  </si>
  <si>
    <t xml:space="preserve">Rail operations collect passenger income and DfT contract receipts on timing that does not match the cost of running services. In FY2024 the unwind of prior balances drove a GBP 106.1m working-capital outflow; in FY2025 contract timing reversed into a GBP 75.7m inflow.</t>
  </si>
  <si>
    <t xml:space="preserve">STRUCTURAL POINT:</t>
  </si>
  <si>
    <t xml:space="preserve">Deferred income (season tickets, advance fares, contract receipts) means a transport/rail group can run with negative working capital - customers and government effectively pre-fund operations. This is a genuine, recurring source of cash, but it is volatile and reverses as contracts transition (the DfT is moving train operating companies into public ownership).</t>
  </si>
  <si>
    <t xml:space="preserve">FORWARD FLAG (company guidance):</t>
  </si>
  <si>
    <t xml:space="preserve">FirstGroup expects a c. GBP 120m cash inflow over three years from April 2025 as DfT contracts transition - a working-capital / cash-timing item, not trading profit.</t>
  </si>
  <si>
    <t xml:space="preserve">PROFITABILITY &amp; CAPITAL ALLOCATION (GBP m)</t>
  </si>
  <si>
    <t xml:space="preserve">FY2023A</t>
  </si>
  <si>
    <t xml:space="preserve">Adjusted operating profit</t>
  </si>
  <si>
    <t xml:space="preserve">CAPITAL ALLOCATION (FY2024 / FY2025)</t>
  </si>
  <si>
    <t xml:space="preserve">Share buyback</t>
  </si>
  <si>
    <t xml:space="preserve">External dividends</t>
  </si>
  <si>
    <t xml:space="preserve">Adjusted net debt/(cash)</t>
  </si>
  <si>
    <t xml:space="preserve">Adjusted net debt/(cash): negative = net cash. FY24 net cash GBP 64.1m; FY25 net debt GBP 86.9m after GBP 86.5m acquisitions. Source: FirstGroup plc FY2025 results (52 weeks to 29 Mar 2025), released 10 Jun 2025; firstgroupplc.com.</t>
  </si>
</sst>
</file>

<file path=xl/styles.xml><?xml version="1.0" encoding="utf-8"?>
<styleSheet xmlns="http://schemas.openxmlformats.org/spreadsheetml/2006/main">
  <numFmts count="9">
    <numFmt numFmtId="164" formatCode="General"/>
    <numFmt numFmtId="165" formatCode="#,##0.0;\(#,##0.0\);\-"/>
    <numFmt numFmtId="166" formatCode="#,##0\m"/>
    <numFmt numFmtId="167" formatCode="#,##0.0\m"/>
    <numFmt numFmtId="168" formatCode="\+#,##0.0\m;\-#,##0.0\m"/>
    <numFmt numFmtId="169" formatCode="\+0.0%&quot; YoY&quot;;\-0.0%&quot; YoY&quot;"/>
    <numFmt numFmtId="170" formatCode="\+0%&quot; YoY&quot;;\-0%&quot; YoY&quot;"/>
    <numFmt numFmtId="171" formatCode="0.0%;\(0.0%\);\-"/>
    <numFmt numFmtId="172" formatCode="0.0\p"/>
  </numFmts>
  <fonts count="2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8"/>
      <color rgb="FF6B7892"/>
      <name val="Arial"/>
      <family val="0"/>
      <charset val="1"/>
    </font>
    <font>
      <i val="true"/>
      <sz val="9"/>
      <color rgb="FF6B7892"/>
      <name val="Arial"/>
      <family val="0"/>
      <charset val="1"/>
    </font>
    <font>
      <b val="true"/>
      <sz val="8"/>
      <color rgb="FF6B7892"/>
      <name val="Arial"/>
      <family val="0"/>
      <charset val="1"/>
    </font>
    <font>
      <b val="true"/>
      <sz val="8"/>
      <color rgb="FF9FB2CC"/>
      <name val="Arial"/>
      <family val="0"/>
      <charset val="1"/>
    </font>
    <font>
      <b val="true"/>
      <sz val="18"/>
      <color rgb="FF11203A"/>
      <name val="Arial"/>
      <family val="0"/>
      <charset val="1"/>
    </font>
    <font>
      <b val="true"/>
      <sz val="18"/>
      <color rgb="FFFFFFFF"/>
      <name val="Arial"/>
      <family val="0"/>
      <charset val="1"/>
    </font>
    <font>
      <b val="true"/>
      <sz val="9"/>
      <color rgb="FF1E8E63"/>
      <name val="Arial"/>
      <family val="0"/>
      <charset val="1"/>
    </font>
    <font>
      <b val="true"/>
      <sz val="9"/>
      <color rgb="FF69C7BD"/>
      <name val="Arial"/>
      <family val="0"/>
      <charset val="1"/>
    </font>
    <font>
      <b val="true"/>
      <sz val="8"/>
      <color rgb="FF1E8E63"/>
      <name val="Arial"/>
      <family val="0"/>
      <charset val="1"/>
    </font>
    <font>
      <b val="true"/>
      <sz val="9"/>
      <color rgb="FF0F1B2D"/>
      <name val="Arial"/>
      <family val="0"/>
      <charset val="1"/>
    </font>
    <font>
      <sz val="10"/>
      <color rgb="FF000000"/>
      <name val="Arial"/>
      <family val="0"/>
      <charset val="1"/>
    </font>
    <font>
      <b val="true"/>
      <sz val="10"/>
      <name val="Arial"/>
      <family val="0"/>
      <charset val="1"/>
    </font>
    <font>
      <sz val="10"/>
      <color rgb="FF000000"/>
      <name val="Calibri"/>
      <family val="2"/>
    </font>
    <font>
      <b val="true"/>
      <sz val="10"/>
      <color rgb="FF000000"/>
      <name val="Calibri"/>
      <family val="2"/>
    </font>
    <font>
      <b val="true"/>
      <sz val="18"/>
      <color rgb="FF0F1B2D"/>
      <name val="Arial"/>
      <family val="0"/>
      <charset val="1"/>
    </font>
    <font>
      <b val="true"/>
      <sz val="12"/>
      <color rgb="FF1F6F6B"/>
      <name val="Arial"/>
      <family val="0"/>
      <charset val="1"/>
    </font>
    <font>
      <b val="true"/>
      <sz val="10"/>
      <color rgb="FF0F1B2D"/>
      <name val="Arial"/>
      <family val="0"/>
      <charset val="1"/>
    </font>
    <font>
      <sz val="10"/>
      <name val="Arial"/>
      <family val="0"/>
      <charset val="1"/>
    </font>
    <font>
      <b val="true"/>
      <sz val="14"/>
      <color rgb="FFFFFFFF"/>
      <name val="Arial"/>
      <family val="0"/>
      <charset val="1"/>
    </font>
    <font>
      <sz val="10"/>
      <color rgb="FF0000FF"/>
      <name val="Arial"/>
      <family val="0"/>
      <charset val="1"/>
    </font>
    <font>
      <sz val="10"/>
      <name val="Arial"/>
      <family val="2"/>
    </font>
    <font>
      <sz val="9"/>
      <name val="Arial"/>
      <family val="0"/>
      <charset val="1"/>
    </font>
  </fonts>
  <fills count="5">
    <fill>
      <patternFill patternType="none"/>
    </fill>
    <fill>
      <patternFill patternType="gray125"/>
    </fill>
    <fill>
      <patternFill patternType="solid">
        <fgColor rgb="FF0F1B2D"/>
        <bgColor rgb="FF11203A"/>
      </patternFill>
    </fill>
    <fill>
      <patternFill patternType="solid">
        <fgColor rgb="FFFFFFFF"/>
        <bgColor rgb="FFF9F9F9"/>
      </patternFill>
    </fill>
    <fill>
      <patternFill patternType="solid">
        <fgColor rgb="FFEEF2F8"/>
        <bgColor rgb="FFEEF2F7"/>
      </patternFill>
    </fill>
  </fills>
  <borders count="5">
    <border diagonalUp="false" diagonalDown="false">
      <left/>
      <right/>
      <top/>
      <bottom/>
      <diagonal/>
    </border>
    <border diagonalUp="false" diagonalDown="false">
      <left style="thin">
        <color rgb="FFE7ECF3"/>
      </left>
      <right style="thin">
        <color rgb="FFE7ECF3"/>
      </right>
      <top style="thin">
        <color rgb="FFE7ECF3"/>
      </top>
      <bottom style="thin">
        <color rgb="FFE7ECF3"/>
      </bottom>
      <diagonal/>
    </border>
    <border diagonalUp="false" diagonalDown="false">
      <left/>
      <right/>
      <top/>
      <bottom style="thin">
        <color rgb="FFEEF2F7"/>
      </bottom>
      <diagonal/>
    </border>
    <border diagonalUp="false" diagonalDown="false">
      <left style="thin">
        <color rgb="FFD9E0EA"/>
      </left>
      <right style="thin">
        <color rgb="FFD9E0EA"/>
      </right>
      <top style="thin">
        <color rgb="FFD9E0EA"/>
      </top>
      <bottom style="thin">
        <color rgb="FFD9E0EA"/>
      </bottom>
      <diagonal/>
    </border>
    <border diagonalUp="false" diagonalDown="false">
      <left/>
      <right/>
      <top style="thin">
        <color rgb="FF33415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1" shrinkToFit="false"/>
      <protection locked="true" hidden="false"/>
    </xf>
    <xf numFmtId="164" fontId="8" fillId="2" borderId="1" xfId="0" applyFont="true" applyBorder="true" applyAlignment="true" applyProtection="false">
      <alignment horizontal="general" vertical="center" textRotation="0" wrapText="false" indent="1" shrinkToFit="false"/>
      <protection locked="true" hidden="false"/>
    </xf>
    <xf numFmtId="166" fontId="9" fillId="3" borderId="1" xfId="0" applyFont="true" applyBorder="true" applyAlignment="true" applyProtection="false">
      <alignment horizontal="general" vertical="center" textRotation="0" wrapText="false" indent="1" shrinkToFit="false"/>
      <protection locked="true" hidden="false"/>
    </xf>
    <xf numFmtId="167" fontId="9" fillId="3" borderId="1" xfId="0" applyFont="true" applyBorder="true" applyAlignment="true" applyProtection="false">
      <alignment horizontal="general" vertical="center" textRotation="0" wrapText="false" indent="1" shrinkToFit="false"/>
      <protection locked="true" hidden="false"/>
    </xf>
    <xf numFmtId="167" fontId="10" fillId="2" borderId="1" xfId="0" applyFont="true" applyBorder="true" applyAlignment="true" applyProtection="false">
      <alignment horizontal="general" vertical="center" textRotation="0" wrapText="false" indent="1" shrinkToFit="false"/>
      <protection locked="true" hidden="false"/>
    </xf>
    <xf numFmtId="168" fontId="9" fillId="3" borderId="1" xfId="0" applyFont="true" applyBorder="true" applyAlignment="true" applyProtection="false">
      <alignment horizontal="general" vertical="center" textRotation="0" wrapText="false" indent="1" shrinkToFit="false"/>
      <protection locked="true" hidden="false"/>
    </xf>
    <xf numFmtId="169" fontId="11" fillId="3" borderId="1" xfId="0" applyFont="true" applyBorder="true" applyAlignment="true" applyProtection="false">
      <alignment horizontal="general" vertical="top" textRotation="0" wrapText="false" indent="1" shrinkToFit="false"/>
      <protection locked="true" hidden="false"/>
    </xf>
    <xf numFmtId="170" fontId="12" fillId="2" borderId="1" xfId="0" applyFont="true" applyBorder="true" applyAlignment="true" applyProtection="false">
      <alignment horizontal="general" vertical="top" textRotation="0" wrapText="false" indent="1" shrinkToFit="false"/>
      <protection locked="true" hidden="false"/>
    </xf>
    <xf numFmtId="164" fontId="13" fillId="3" borderId="1" xfId="0" applyFont="true" applyBorder="true" applyAlignment="true" applyProtection="false">
      <alignment horizontal="general" vertical="bottom" textRotation="0" wrapText="false" indent="1"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5" fontId="16" fillId="0" borderId="2" xfId="0" applyFont="true" applyBorder="true" applyAlignment="true" applyProtection="false">
      <alignment horizontal="right" vertical="bottom" textRotation="0" wrapText="false" indent="0" shrinkToFit="false"/>
      <protection locked="true" hidden="false"/>
    </xf>
    <xf numFmtId="171" fontId="16" fillId="0" borderId="2" xfId="0" applyFont="true" applyBorder="true" applyAlignment="true" applyProtection="false">
      <alignment horizontal="right" vertical="bottom" textRotation="0" wrapText="false" indent="0" shrinkToFit="false"/>
      <protection locked="true" hidden="false"/>
    </xf>
    <xf numFmtId="172" fontId="16" fillId="0" borderId="2"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2" borderId="0" xfId="0" applyFont="true" applyBorder="true" applyAlignment="false" applyProtection="false">
      <alignment horizontal="general" vertical="bottom" textRotation="0" wrapText="false" indent="0" shrinkToFit="false"/>
      <protection locked="true" hidden="false"/>
    </xf>
    <xf numFmtId="164" fontId="16" fillId="4" borderId="3" xfId="0" applyFont="true" applyBorder="true" applyAlignment="false" applyProtection="false">
      <alignment horizontal="general" vertical="bottom" textRotation="0" wrapText="false" indent="0" shrinkToFit="false"/>
      <protection locked="true" hidden="false"/>
    </xf>
    <xf numFmtId="164" fontId="16" fillId="4" borderId="3"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0" borderId="4" xfId="0" applyFont="true" applyBorder="tru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71" fontId="16" fillId="0" borderId="4" xfId="0" applyFont="true" applyBorder="tru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72" fontId="2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9FB2CC"/>
      <rgbColor rgb="FF878787"/>
      <rgbColor rgb="FF9999FF"/>
      <rgbColor rgb="FF993366"/>
      <rgbColor rgb="FFF9F9F9"/>
      <rgbColor rgb="FFE7ECF3"/>
      <rgbColor rgb="FF660066"/>
      <rgbColor rgb="FFFF8080"/>
      <rgbColor rgb="FF2B5FB3"/>
      <rgbColor rgb="FFD9D9D9"/>
      <rgbColor rgb="FF000080"/>
      <rgbColor rgb="FFFF00FF"/>
      <rgbColor rgb="FFFFFF00"/>
      <rgbColor rgb="FF00FFFF"/>
      <rgbColor rgb="FF800080"/>
      <rgbColor rgb="FF800000"/>
      <rgbColor rgb="FF008080"/>
      <rgbColor rgb="FF0000FF"/>
      <rgbColor rgb="FF00CCFF"/>
      <rgbColor rgb="FFEEF2F8"/>
      <rgbColor rgb="FFEEF2F7"/>
      <rgbColor rgb="FFFFFF99"/>
      <rgbColor rgb="FF99CCFF"/>
      <rgbColor rgb="FFFF99CC"/>
      <rgbColor rgb="FFCC99FF"/>
      <rgbColor rgb="FFD9E0EA"/>
      <rgbColor rgb="FF3366FF"/>
      <rgbColor rgb="FF69C7BD"/>
      <rgbColor rgb="FF99CC00"/>
      <rgbColor rgb="FFFFCC00"/>
      <rgbColor rgb="FFFF9900"/>
      <rgbColor rgb="FFFF6600"/>
      <rgbColor rgb="FF6B7892"/>
      <rgbColor rgb="FF969696"/>
      <rgbColor rgb="FF11203A"/>
      <rgbColor rgb="FF1E8E63"/>
      <rgbColor rgb="FF0F1B2D"/>
      <rgbColor rgb="FF333300"/>
      <rgbColor rgb="FF993300"/>
      <rgbColor rgb="FF993366"/>
      <rgbColor rgb="FF333399"/>
      <rgbColor rgb="FF3341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autoTitleDeleted val="1"/>
    <c:plotArea>
      <c:barChart>
        <c:barDir val="col"/>
        <c:grouping val="clustered"/>
        <c:varyColors val="0"/>
        <c:ser>
          <c:idx val="0"/>
          <c:order val="0"/>
          <c:spPr>
            <a:solidFill>
              <a:srgbClr val="1F6F6B"/>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Dashboard!$Y$2:$Y$5</c:f>
              <c:strCache>
                <c:ptCount val="4"/>
                <c:pt idx="0">
                  <c:v>Adj EBITDA</c:v>
                </c:pt>
                <c:pt idx="1">
                  <c:v>Working capital</c:v>
                </c:pt>
                <c:pt idx="2">
                  <c:v>Other operating</c:v>
                </c:pt>
                <c:pt idx="3">
                  <c:v>Cash from ops</c:v>
                </c:pt>
              </c:strCache>
            </c:strRef>
          </c:cat>
          <c:val>
            <c:numRef>
              <c:f>Dashboard!$Z$2:$Z$5</c:f>
              <c:numCache>
                <c:formatCode>#,##0.0;\(#,##0.0\);\-</c:formatCode>
                <c:ptCount val="4"/>
                <c:pt idx="0">
                  <c:v>779.8</c:v>
                </c:pt>
                <c:pt idx="1">
                  <c:v>75.7</c:v>
                </c:pt>
                <c:pt idx="2">
                  <c:v>-27.3</c:v>
                </c:pt>
                <c:pt idx="3">
                  <c:v>828.2</c:v>
                </c:pt>
              </c:numCache>
            </c:numRef>
          </c:val>
        </c:ser>
        <c:gapWidth val="150"/>
        <c:overlap val="0"/>
        <c:axId val="86952372"/>
        <c:axId val="76814705"/>
      </c:barChart>
      <c:catAx>
        <c:axId val="869523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6814705"/>
        <c:crosses val="autoZero"/>
        <c:auto val="1"/>
        <c:lblAlgn val="ctr"/>
        <c:lblOffset val="100"/>
        <c:noMultiLvlLbl val="0"/>
      </c:catAx>
      <c:valAx>
        <c:axId val="7681470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GBP m</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95237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autoTitleDeleted val="1"/>
    <c:plotArea>
      <c:barChart>
        <c:barDir val="col"/>
        <c:grouping val="clustered"/>
        <c:varyColors val="0"/>
        <c:ser>
          <c:idx val="0"/>
          <c:order val="0"/>
          <c:spPr>
            <a:solidFill>
              <a:srgbClr val="2B5FB3"/>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Dashboard!$Y$8:$Y$9</c:f>
              <c:strCache>
                <c:ptCount val="2"/>
                <c:pt idx="0">
                  <c:v>FY2024</c:v>
                </c:pt>
                <c:pt idx="1">
                  <c:v>FY2025</c:v>
                </c:pt>
              </c:strCache>
            </c:strRef>
          </c:cat>
          <c:val>
            <c:numRef>
              <c:f>Dashboard!$Z$8:$Z$9</c:f>
              <c:numCache>
                <c:formatCode>#,##0.0;\(#,##0.0\);\-</c:formatCode>
                <c:ptCount val="2"/>
                <c:pt idx="0">
                  <c:v>-106.1</c:v>
                </c:pt>
                <c:pt idx="1">
                  <c:v>75.7</c:v>
                </c:pt>
              </c:numCache>
            </c:numRef>
          </c:val>
        </c:ser>
        <c:gapWidth val="150"/>
        <c:overlap val="0"/>
        <c:axId val="53108449"/>
        <c:axId val="84253013"/>
      </c:barChart>
      <c:catAx>
        <c:axId val="531084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253013"/>
        <c:crosses val="autoZero"/>
        <c:auto val="1"/>
        <c:lblAlgn val="ctr"/>
        <c:lblOffset val="100"/>
        <c:noMultiLvlLbl val="0"/>
      </c:catAx>
      <c:valAx>
        <c:axId val="8425301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GBP m</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108449"/>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8</xdr:col>
      <xdr:colOff>321480</xdr:colOff>
      <xdr:row>23</xdr:row>
      <xdr:rowOff>68400</xdr:rowOff>
    </xdr:to>
    <xdr:graphicFrame>
      <xdr:nvGraphicFramePr>
        <xdr:cNvPr id="1" name="Chart 1"/>
        <xdr:cNvGraphicFramePr/>
      </xdr:nvGraphicFramePr>
      <xdr:xfrm>
        <a:off x="648360" y="2019240"/>
        <a:ext cx="485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9</xdr:row>
      <xdr:rowOff>0</xdr:rowOff>
    </xdr:from>
    <xdr:to>
      <xdr:col>15</xdr:col>
      <xdr:colOff>429480</xdr:colOff>
      <xdr:row>23</xdr:row>
      <xdr:rowOff>68400</xdr:rowOff>
    </xdr:to>
    <xdr:graphicFrame>
      <xdr:nvGraphicFramePr>
        <xdr:cNvPr id="2" name="Chart 2"/>
        <xdr:cNvGraphicFramePr/>
      </xdr:nvGraphicFramePr>
      <xdr:xfrm>
        <a:off x="5834880" y="2019240"/>
        <a:ext cx="431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Z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7" min="1" style="0" width="9.2"/>
  </cols>
  <sheetData>
    <row r="2" customFormat="false" ht="30" hidden="false" customHeight="true" outlineLevel="0" collapsed="false">
      <c r="B2" s="1" t="s">
        <v>0</v>
      </c>
      <c r="C2" s="1"/>
      <c r="D2" s="1"/>
      <c r="E2" s="1"/>
      <c r="F2" s="1"/>
      <c r="G2" s="1"/>
      <c r="H2" s="1"/>
      <c r="I2" s="1"/>
      <c r="J2" s="1"/>
      <c r="K2" s="1"/>
      <c r="L2" s="1"/>
      <c r="M2" s="1"/>
      <c r="N2" s="1"/>
      <c r="O2" s="1"/>
      <c r="P2" s="1"/>
      <c r="Q2" s="1"/>
      <c r="Y2" s="2" t="s">
        <v>1</v>
      </c>
      <c r="Z2" s="3" t="n">
        <f aca="false">'Cash Flow Bridge'!C4</f>
        <v>779.8</v>
      </c>
    </row>
    <row r="3" customFormat="false" ht="15" hidden="false" customHeight="false" outlineLevel="0" collapsed="false">
      <c r="B3" s="4" t="s">
        <v>2</v>
      </c>
      <c r="C3" s="4"/>
      <c r="D3" s="4"/>
      <c r="E3" s="4"/>
      <c r="F3" s="4"/>
      <c r="G3" s="4"/>
      <c r="H3" s="4"/>
      <c r="I3" s="4"/>
      <c r="J3" s="4"/>
      <c r="K3" s="4"/>
      <c r="L3" s="4"/>
      <c r="M3" s="4"/>
      <c r="N3" s="4"/>
      <c r="O3" s="4"/>
      <c r="P3" s="4"/>
      <c r="Q3" s="4"/>
      <c r="Y3" s="2" t="s">
        <v>3</v>
      </c>
      <c r="Z3" s="3" t="n">
        <f aca="false">'Cash Flow Bridge'!C6</f>
        <v>75.7</v>
      </c>
    </row>
    <row r="4" customFormat="false" ht="15" hidden="false" customHeight="false" outlineLevel="0" collapsed="false">
      <c r="Y4" s="2" t="s">
        <v>4</v>
      </c>
      <c r="Z4" s="3" t="n">
        <f aca="false">'Cash Flow Bridge'!C5+'Cash Flow Bridge'!C7+'Cash Flow Bridge'!C8+'Cash Flow Bridge'!C10</f>
        <v>-27.3</v>
      </c>
    </row>
    <row r="5" customFormat="false" ht="15" hidden="false" customHeight="false" outlineLevel="0" collapsed="false">
      <c r="B5" s="5" t="s">
        <v>5</v>
      </c>
      <c r="C5" s="5"/>
      <c r="D5" s="5"/>
      <c r="F5" s="5" t="s">
        <v>6</v>
      </c>
      <c r="G5" s="5"/>
      <c r="H5" s="5"/>
      <c r="J5" s="6" t="s">
        <v>7</v>
      </c>
      <c r="K5" s="6"/>
      <c r="L5" s="6"/>
      <c r="N5" s="5" t="s">
        <v>8</v>
      </c>
      <c r="O5" s="5"/>
      <c r="P5" s="5"/>
      <c r="Y5" s="2" t="s">
        <v>9</v>
      </c>
      <c r="Z5" s="3" t="n">
        <f aca="false">'Cash Flow Bridge'!C11</f>
        <v>828.2</v>
      </c>
    </row>
    <row r="6" customFormat="false" ht="24" hidden="false" customHeight="true" outlineLevel="0" collapsed="false">
      <c r="B6" s="7" t="n">
        <f aca="false">'P&amp;L &amp; Returns'!D4</f>
        <v>5069</v>
      </c>
      <c r="C6" s="7"/>
      <c r="D6" s="7"/>
      <c r="F6" s="8" t="n">
        <f aca="false">'Cash Flow Bridge'!C11</f>
        <v>828.2</v>
      </c>
      <c r="G6" s="8"/>
      <c r="H6" s="8"/>
      <c r="J6" s="9" t="n">
        <f aca="false">'Cash Flow Bridge'!C22</f>
        <v>113.5</v>
      </c>
      <c r="K6" s="9"/>
      <c r="L6" s="9"/>
      <c r="N6" s="10" t="n">
        <f aca="false">'Cash Flow Bridge'!C6</f>
        <v>75.7</v>
      </c>
      <c r="O6" s="10"/>
      <c r="P6" s="10"/>
    </row>
    <row r="7" customFormat="false" ht="15" hidden="false" customHeight="false" outlineLevel="0" collapsed="false">
      <c r="B7" s="11" t="n">
        <f aca="false">'P&amp;L &amp; Returns'!D4/'P&amp;L &amp; Returns'!C4-1</f>
        <v>0.0730313293818798</v>
      </c>
      <c r="C7" s="11"/>
      <c r="D7" s="11"/>
      <c r="F7" s="11" t="n">
        <f aca="false">'Cash Flow Bridge'!C11/'Cash Flow Bridge'!B11-1</f>
        <v>0.321736354931376</v>
      </c>
      <c r="G7" s="11"/>
      <c r="H7" s="11"/>
      <c r="J7" s="12" t="n">
        <f aca="false">'Cash Flow Bridge'!C22/'Cash Flow Bridge'!B22-1</f>
        <v>1.10575139146568</v>
      </c>
      <c r="K7" s="12"/>
      <c r="L7" s="12"/>
      <c r="N7" s="13" t="s">
        <v>10</v>
      </c>
      <c r="O7" s="13"/>
      <c r="P7" s="13"/>
    </row>
    <row r="8" customFormat="false" ht="15" hidden="false" customHeight="false" outlineLevel="0" collapsed="false">
      <c r="Y8" s="2" t="s">
        <v>11</v>
      </c>
      <c r="Z8" s="3" t="n">
        <f aca="false">'Cash Flow Bridge'!B6</f>
        <v>-106.1</v>
      </c>
    </row>
    <row r="9" customFormat="false" ht="15" hidden="false" customHeight="false" outlineLevel="0" collapsed="false">
      <c r="B9" s="14" t="s">
        <v>12</v>
      </c>
      <c r="J9" s="14" t="s">
        <v>13</v>
      </c>
      <c r="Y9" s="2" t="s">
        <v>14</v>
      </c>
      <c r="Z9" s="3" t="n">
        <f aca="false">'Cash Flow Bridge'!C6</f>
        <v>75.7</v>
      </c>
    </row>
    <row r="27" customFormat="false" ht="15" hidden="false" customHeight="false" outlineLevel="0" collapsed="false">
      <c r="B27" s="14" t="s">
        <v>15</v>
      </c>
    </row>
    <row r="28" customFormat="false" ht="15" hidden="false" customHeight="false" outlineLevel="0" collapsed="false">
      <c r="B28" s="15" t="s">
        <v>16</v>
      </c>
      <c r="C28" s="15"/>
      <c r="D28" s="15"/>
      <c r="E28" s="15"/>
      <c r="F28" s="15"/>
      <c r="G28" s="16" t="n">
        <f aca="false">'P&amp;L &amp; Returns'!D4</f>
        <v>5069</v>
      </c>
      <c r="H28" s="16"/>
    </row>
    <row r="29" customFormat="false" ht="15" hidden="false" customHeight="false" outlineLevel="0" collapsed="false">
      <c r="B29" s="15" t="s">
        <v>17</v>
      </c>
      <c r="C29" s="15"/>
      <c r="D29" s="15"/>
      <c r="E29" s="15"/>
      <c r="F29" s="15"/>
      <c r="G29" s="16" t="n">
        <f aca="false">'P&amp;L &amp; Returns'!D5</f>
        <v>222.8</v>
      </c>
      <c r="H29" s="16"/>
    </row>
    <row r="30" customFormat="false" ht="15" hidden="false" customHeight="false" outlineLevel="0" collapsed="false">
      <c r="B30" s="15" t="s">
        <v>18</v>
      </c>
      <c r="C30" s="15"/>
      <c r="D30" s="15"/>
      <c r="E30" s="15"/>
      <c r="F30" s="15"/>
      <c r="G30" s="17" t="n">
        <f aca="false">'P&amp;L &amp; Returns'!D6</f>
        <v>0.0439534424935885</v>
      </c>
      <c r="H30" s="17"/>
    </row>
    <row r="31" customFormat="false" ht="15" hidden="false" customHeight="false" outlineLevel="0" collapsed="false">
      <c r="B31" s="15" t="s">
        <v>19</v>
      </c>
      <c r="C31" s="15"/>
      <c r="D31" s="15"/>
      <c r="E31" s="15"/>
      <c r="F31" s="15"/>
      <c r="G31" s="16" t="n">
        <f aca="false">'Cash Flow Bridge'!C11</f>
        <v>828.2</v>
      </c>
      <c r="H31" s="16"/>
    </row>
    <row r="32" customFormat="false" ht="15" hidden="false" customHeight="false" outlineLevel="0" collapsed="false">
      <c r="B32" s="15" t="s">
        <v>20</v>
      </c>
      <c r="C32" s="15"/>
      <c r="D32" s="15"/>
      <c r="E32" s="15"/>
      <c r="F32" s="15"/>
      <c r="G32" s="17" t="n">
        <f aca="false">'Working Capital'!C7</f>
        <v>1.06206719671711</v>
      </c>
      <c r="H32" s="17"/>
    </row>
    <row r="33" customFormat="false" ht="15" hidden="false" customHeight="false" outlineLevel="0" collapsed="false">
      <c r="B33" s="15" t="s">
        <v>21</v>
      </c>
      <c r="C33" s="15"/>
      <c r="D33" s="15"/>
      <c r="E33" s="15"/>
      <c r="F33" s="15"/>
      <c r="G33" s="16" t="n">
        <f aca="false">'Cash Flow Bridge'!C22</f>
        <v>113.5</v>
      </c>
      <c r="H33" s="16"/>
    </row>
    <row r="34" customFormat="false" ht="15" hidden="false" customHeight="false" outlineLevel="0" collapsed="false">
      <c r="B34" s="15" t="s">
        <v>22</v>
      </c>
      <c r="C34" s="15"/>
      <c r="D34" s="15"/>
      <c r="E34" s="15"/>
      <c r="F34" s="15"/>
      <c r="G34" s="16" t="n">
        <f aca="false">-('Cash Flow Bridge'!C19+'Cash Flow Bridge'!C20)</f>
        <v>126</v>
      </c>
      <c r="H34" s="16"/>
    </row>
    <row r="35" customFormat="false" ht="15" hidden="false" customHeight="false" outlineLevel="0" collapsed="false">
      <c r="B35" s="15" t="s">
        <v>23</v>
      </c>
      <c r="C35" s="15"/>
      <c r="D35" s="15"/>
      <c r="E35" s="15"/>
      <c r="F35" s="15"/>
      <c r="G35" s="18" t="n">
        <f aca="false">'P&amp;L &amp; Returns'!D14</f>
        <v>6.5</v>
      </c>
      <c r="H35" s="18"/>
    </row>
    <row r="36" customFormat="false" ht="15" hidden="false" customHeight="false" outlineLevel="0" collapsed="false">
      <c r="B36" s="15" t="s">
        <v>24</v>
      </c>
      <c r="C36" s="15"/>
      <c r="D36" s="15"/>
      <c r="E36" s="15"/>
      <c r="F36" s="15"/>
      <c r="G36" s="16" t="n">
        <f aca="false">'P&amp;L &amp; Returns'!D15</f>
        <v>86.9</v>
      </c>
      <c r="H36" s="16"/>
    </row>
    <row r="38" customFormat="false" ht="15" hidden="false" customHeight="false" outlineLevel="0" collapsed="false">
      <c r="B38" s="2" t="s">
        <v>25</v>
      </c>
    </row>
  </sheetData>
  <mergeCells count="32">
    <mergeCell ref="B2:Q2"/>
    <mergeCell ref="B3:Q3"/>
    <mergeCell ref="B5:D5"/>
    <mergeCell ref="F5:H5"/>
    <mergeCell ref="J5:L5"/>
    <mergeCell ref="N5:P5"/>
    <mergeCell ref="B6:D6"/>
    <mergeCell ref="F6:H6"/>
    <mergeCell ref="J6:L6"/>
    <mergeCell ref="N6:P6"/>
    <mergeCell ref="B7:D7"/>
    <mergeCell ref="F7:H7"/>
    <mergeCell ref="J7:L7"/>
    <mergeCell ref="N7:P7"/>
    <mergeCell ref="B28:F28"/>
    <mergeCell ref="G28:H28"/>
    <mergeCell ref="B29:F29"/>
    <mergeCell ref="G29:H29"/>
    <mergeCell ref="B30:F30"/>
    <mergeCell ref="G30:H30"/>
    <mergeCell ref="B31:F31"/>
    <mergeCell ref="G31:H31"/>
    <mergeCell ref="B32:F32"/>
    <mergeCell ref="G32:H32"/>
    <mergeCell ref="B33:F33"/>
    <mergeCell ref="G33:H33"/>
    <mergeCell ref="B34:F34"/>
    <mergeCell ref="G34:H34"/>
    <mergeCell ref="B35:F35"/>
    <mergeCell ref="G35:H35"/>
    <mergeCell ref="B36:F36"/>
    <mergeCell ref="G36:H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12"/>
  </cols>
  <sheetData>
    <row r="2" customFormat="false" ht="22.05" hidden="false" customHeight="false" outlineLevel="0" collapsed="false">
      <c r="B2" s="19" t="s">
        <v>26</v>
      </c>
    </row>
    <row r="3" customFormat="false" ht="15" hidden="false" customHeight="false" outlineLevel="0" collapsed="false">
      <c r="B3" s="20" t="s">
        <v>27</v>
      </c>
    </row>
    <row r="4" customFormat="false" ht="15" hidden="false" customHeight="false" outlineLevel="0" collapsed="false">
      <c r="B4" s="2" t="s">
        <v>28</v>
      </c>
    </row>
    <row r="6" customFormat="false" ht="15" hidden="false" customHeight="false" outlineLevel="0" collapsed="false">
      <c r="B6" s="21" t="s">
        <v>29</v>
      </c>
    </row>
    <row r="7" customFormat="false" ht="42" hidden="false" customHeight="true" outlineLevel="0" collapsed="false">
      <c r="B7" s="22" t="s">
        <v>30</v>
      </c>
    </row>
    <row r="9" customFormat="false" ht="15" hidden="false" customHeight="false" outlineLevel="0" collapsed="false">
      <c r="B9" s="21" t="s">
        <v>31</v>
      </c>
    </row>
    <row r="10" customFormat="false" ht="55.5" hidden="false" customHeight="true" outlineLevel="0" collapsed="false">
      <c r="B10" s="22" t="s">
        <v>32</v>
      </c>
    </row>
    <row r="12" customFormat="false" ht="15" hidden="false" customHeight="false" outlineLevel="0" collapsed="false">
      <c r="B12" s="21" t="s">
        <v>33</v>
      </c>
    </row>
    <row r="13" customFormat="false" ht="55.5" hidden="false" customHeight="true" outlineLevel="0" collapsed="false">
      <c r="B13" s="22" t="s">
        <v>34</v>
      </c>
    </row>
    <row r="15" customFormat="false" ht="15" hidden="false" customHeight="false" outlineLevel="0" collapsed="false">
      <c r="B15" s="21" t="s">
        <v>35</v>
      </c>
    </row>
    <row r="16" customFormat="false" ht="69.75" hidden="false" customHeight="true" outlineLevel="0" collapsed="false">
      <c r="B16" s="22" t="s">
        <v>36</v>
      </c>
    </row>
    <row r="18" customFormat="false" ht="15" hidden="false" customHeight="false" outlineLevel="0" collapsed="false">
      <c r="B18" s="21" t="s">
        <v>37</v>
      </c>
    </row>
    <row r="19" customFormat="false" ht="42" hidden="false" customHeight="true" outlineLevel="0" collapsed="false">
      <c r="B19" s="22" t="s">
        <v>38</v>
      </c>
    </row>
    <row r="21" customFormat="false" ht="15" hidden="false" customHeight="false" outlineLevel="0" collapsed="false">
      <c r="B21" s="21" t="s">
        <v>39</v>
      </c>
    </row>
    <row r="22" customFormat="false" ht="42" hidden="false" customHeight="true" outlineLevel="0" collapsed="false">
      <c r="B22" s="22" t="s">
        <v>40</v>
      </c>
    </row>
    <row r="24" customFormat="false" ht="15" hidden="false" customHeight="false" outlineLevel="0" collapsed="false">
      <c r="B24" s="21" t="s">
        <v>41</v>
      </c>
    </row>
    <row r="25" customFormat="false" ht="27.75" hidden="false" customHeight="true" outlineLevel="0" collapsed="false">
      <c r="B25" s="22"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4" min="2" style="0" width="13"/>
  </cols>
  <sheetData>
    <row r="1" customFormat="false" ht="17.35" hidden="false" customHeight="false" outlineLevel="0" collapsed="false">
      <c r="A1" s="23" t="s">
        <v>43</v>
      </c>
      <c r="B1" s="23"/>
      <c r="C1" s="23"/>
      <c r="D1" s="23"/>
    </row>
    <row r="3" customFormat="false" ht="15" hidden="false" customHeight="false" outlineLevel="0" collapsed="false">
      <c r="A3" s="24" t="s">
        <v>44</v>
      </c>
      <c r="B3" s="25" t="s">
        <v>45</v>
      </c>
      <c r="C3" s="25" t="s">
        <v>46</v>
      </c>
      <c r="D3" s="25" t="s">
        <v>47</v>
      </c>
    </row>
    <row r="4" customFormat="false" ht="15" hidden="false" customHeight="false" outlineLevel="0" collapsed="false">
      <c r="A4" s="26" t="s">
        <v>48</v>
      </c>
      <c r="B4" s="27" t="n">
        <v>746.8</v>
      </c>
      <c r="C4" s="27" t="n">
        <v>779.8</v>
      </c>
      <c r="D4" s="28" t="n">
        <f aca="false">C4-B4</f>
        <v>33</v>
      </c>
    </row>
    <row r="5" customFormat="false" ht="15" hidden="false" customHeight="false" outlineLevel="0" collapsed="false">
      <c r="A5" s="26" t="s">
        <v>49</v>
      </c>
      <c r="B5" s="27" t="n">
        <v>13.7</v>
      </c>
      <c r="C5" s="27" t="n">
        <v>10.3</v>
      </c>
      <c r="D5" s="28" t="n">
        <f aca="false">C5-B5</f>
        <v>-3.4</v>
      </c>
    </row>
    <row r="6" customFormat="false" ht="15" hidden="false" customHeight="false" outlineLevel="0" collapsed="false">
      <c r="A6" s="26" t="s">
        <v>50</v>
      </c>
      <c r="B6" s="27" t="n">
        <v>-106.1</v>
      </c>
      <c r="C6" s="27" t="n">
        <v>75.7</v>
      </c>
      <c r="D6" s="28" t="n">
        <f aca="false">C6-B6</f>
        <v>181.8</v>
      </c>
    </row>
    <row r="7" customFormat="false" ht="15" hidden="false" customHeight="false" outlineLevel="0" collapsed="false">
      <c r="A7" s="26" t="s">
        <v>51</v>
      </c>
      <c r="B7" s="27" t="n">
        <v>-27.9</v>
      </c>
      <c r="C7" s="27" t="n">
        <v>-27.9</v>
      </c>
      <c r="D7" s="28" t="n">
        <f aca="false">C7-B7</f>
        <v>0</v>
      </c>
    </row>
    <row r="8" customFormat="false" ht="15" hidden="false" customHeight="false" outlineLevel="0" collapsed="false">
      <c r="A8" s="26" t="s">
        <v>52</v>
      </c>
      <c r="B8" s="27" t="n">
        <v>23.7</v>
      </c>
      <c r="C8" s="27" t="n">
        <v>-1</v>
      </c>
      <c r="D8" s="28" t="n">
        <f aca="false">C8-B8</f>
        <v>-24.7</v>
      </c>
    </row>
    <row r="9" customFormat="false" ht="15" hidden="false" customHeight="false" outlineLevel="0" collapsed="false">
      <c r="A9" s="26" t="s">
        <v>53</v>
      </c>
      <c r="B9" s="27" t="n">
        <v>-1.1</v>
      </c>
      <c r="C9" s="27" t="n">
        <v>0</v>
      </c>
      <c r="D9" s="28" t="n">
        <f aca="false">C9-B9</f>
        <v>1.1</v>
      </c>
    </row>
    <row r="10" customFormat="false" ht="15" hidden="false" customHeight="false" outlineLevel="0" collapsed="false">
      <c r="A10" s="26" t="s">
        <v>54</v>
      </c>
      <c r="B10" s="27" t="n">
        <v>-22.5</v>
      </c>
      <c r="C10" s="27" t="n">
        <v>-8.7</v>
      </c>
      <c r="D10" s="28" t="n">
        <f aca="false">C10-B10</f>
        <v>13.8</v>
      </c>
    </row>
    <row r="11" customFormat="false" ht="15" hidden="false" customHeight="false" outlineLevel="0" collapsed="false">
      <c r="A11" s="29" t="s">
        <v>55</v>
      </c>
      <c r="B11" s="30" t="n">
        <v>626.6</v>
      </c>
      <c r="C11" s="30" t="n">
        <v>828.2</v>
      </c>
      <c r="D11" s="30" t="n">
        <f aca="false">C11-B11</f>
        <v>201.6</v>
      </c>
    </row>
    <row r="12" customFormat="false" ht="15" hidden="false" customHeight="false" outlineLevel="0" collapsed="false">
      <c r="A12" s="26" t="s">
        <v>56</v>
      </c>
      <c r="B12" s="27" t="n">
        <v>-219.3</v>
      </c>
      <c r="C12" s="27" t="n">
        <v>-156.4</v>
      </c>
      <c r="D12" s="28" t="n">
        <f aca="false">C12-B12</f>
        <v>62.9</v>
      </c>
    </row>
    <row r="13" customFormat="false" ht="15" hidden="false" customHeight="false" outlineLevel="0" collapsed="false">
      <c r="A13" s="26" t="s">
        <v>57</v>
      </c>
      <c r="B13" s="27" t="n">
        <v>94.8</v>
      </c>
      <c r="C13" s="27" t="n">
        <v>66.4</v>
      </c>
      <c r="D13" s="28" t="n">
        <f aca="false">C13-B13</f>
        <v>-28.4</v>
      </c>
    </row>
    <row r="14" customFormat="false" ht="15" hidden="false" customHeight="false" outlineLevel="0" collapsed="false">
      <c r="A14" s="26" t="s">
        <v>58</v>
      </c>
      <c r="B14" s="27" t="n">
        <v>-16.7</v>
      </c>
      <c r="C14" s="27" t="n">
        <v>-86.5</v>
      </c>
      <c r="D14" s="28" t="n">
        <f aca="false">C14-B14</f>
        <v>-69.8</v>
      </c>
    </row>
    <row r="15" customFormat="false" ht="15" hidden="false" customHeight="false" outlineLevel="0" collapsed="false">
      <c r="A15" s="26" t="s">
        <v>59</v>
      </c>
      <c r="B15" s="27" t="n">
        <v>42.8</v>
      </c>
      <c r="C15" s="27" t="n">
        <v>17.9</v>
      </c>
      <c r="D15" s="28" t="n">
        <f aca="false">C15-B15</f>
        <v>-24.9</v>
      </c>
    </row>
    <row r="16" customFormat="false" ht="15" hidden="false" customHeight="false" outlineLevel="0" collapsed="false">
      <c r="A16" s="26" t="s">
        <v>60</v>
      </c>
      <c r="B16" s="27" t="n">
        <v>65.3</v>
      </c>
      <c r="C16" s="27" t="n">
        <v>0</v>
      </c>
      <c r="D16" s="28" t="n">
        <f aca="false">C16-B16</f>
        <v>-65.3</v>
      </c>
    </row>
    <row r="17" customFormat="false" ht="15" hidden="false" customHeight="false" outlineLevel="0" collapsed="false">
      <c r="A17" s="26" t="s">
        <v>61</v>
      </c>
      <c r="B17" s="27" t="n">
        <v>-67.6</v>
      </c>
      <c r="C17" s="27" t="n">
        <v>-66.3</v>
      </c>
      <c r="D17" s="28" t="n">
        <f aca="false">C17-B17</f>
        <v>1.3</v>
      </c>
    </row>
    <row r="18" customFormat="false" ht="15" hidden="false" customHeight="false" outlineLevel="0" collapsed="false">
      <c r="A18" s="26" t="s">
        <v>62</v>
      </c>
      <c r="B18" s="27" t="n">
        <v>-16.5</v>
      </c>
      <c r="C18" s="27" t="n">
        <v>-16.1</v>
      </c>
      <c r="D18" s="28" t="n">
        <f aca="false">C18-B18</f>
        <v>0.399999999999999</v>
      </c>
    </row>
    <row r="19" customFormat="false" ht="15" hidden="false" customHeight="false" outlineLevel="0" collapsed="false">
      <c r="A19" s="26" t="s">
        <v>63</v>
      </c>
      <c r="B19" s="27" t="n">
        <v>-117.6</v>
      </c>
      <c r="C19" s="27" t="n">
        <v>-91.8</v>
      </c>
      <c r="D19" s="28" t="n">
        <f aca="false">C19-B19</f>
        <v>25.8</v>
      </c>
    </row>
    <row r="20" customFormat="false" ht="15" hidden="false" customHeight="false" outlineLevel="0" collapsed="false">
      <c r="A20" s="26" t="s">
        <v>64</v>
      </c>
      <c r="B20" s="27" t="n">
        <v>-29.5</v>
      </c>
      <c r="C20" s="27" t="n">
        <v>-34.2</v>
      </c>
      <c r="D20" s="28" t="n">
        <f aca="false">C20-B20</f>
        <v>-4.7</v>
      </c>
    </row>
    <row r="21" customFormat="false" ht="15" hidden="false" customHeight="false" outlineLevel="0" collapsed="false">
      <c r="A21" s="26" t="s">
        <v>65</v>
      </c>
      <c r="B21" s="27" t="n">
        <v>-6.5</v>
      </c>
      <c r="C21" s="27" t="n">
        <v>-3.4</v>
      </c>
      <c r="D21" s="28" t="n">
        <f aca="false">C21-B21</f>
        <v>3.1</v>
      </c>
    </row>
    <row r="22" customFormat="false" ht="15" hidden="false" customHeight="false" outlineLevel="0" collapsed="false">
      <c r="A22" s="29" t="s">
        <v>66</v>
      </c>
      <c r="B22" s="30" t="n">
        <v>53.9</v>
      </c>
      <c r="C22" s="30" t="n">
        <v>113.5</v>
      </c>
      <c r="D22" s="30" t="n">
        <f aca="false">C22-B22</f>
        <v>59.6</v>
      </c>
    </row>
    <row r="24" customFormat="false" ht="15" hidden="false" customHeight="false" outlineLevel="0" collapsed="false">
      <c r="A24" s="2" t="s">
        <v>67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4" min="2" style="0" width="14"/>
  </cols>
  <sheetData>
    <row r="1" customFormat="false" ht="17.35" hidden="false" customHeight="false" outlineLevel="0" collapsed="false">
      <c r="A1" s="23" t="s">
        <v>68</v>
      </c>
      <c r="B1" s="23"/>
      <c r="C1" s="23"/>
      <c r="D1" s="23"/>
    </row>
    <row r="3" customFormat="false" ht="15" hidden="false" customHeight="false" outlineLevel="0" collapsed="false">
      <c r="A3" s="24" t="s">
        <v>44</v>
      </c>
      <c r="B3" s="25" t="s">
        <v>45</v>
      </c>
      <c r="C3" s="25" t="s">
        <v>46</v>
      </c>
      <c r="D3" s="25" t="s">
        <v>47</v>
      </c>
    </row>
    <row r="4" customFormat="false" ht="15" hidden="false" customHeight="false" outlineLevel="0" collapsed="false">
      <c r="A4" s="26" t="s">
        <v>69</v>
      </c>
      <c r="B4" s="27" t="n">
        <v>-106.1</v>
      </c>
      <c r="C4" s="27" t="n">
        <v>75.7</v>
      </c>
      <c r="D4" s="31" t="n">
        <f aca="false">C4-B4</f>
        <v>181.8</v>
      </c>
    </row>
    <row r="5" customFormat="false" ht="15" hidden="false" customHeight="false" outlineLevel="0" collapsed="false">
      <c r="A5" s="26" t="s">
        <v>48</v>
      </c>
      <c r="B5" s="27" t="n">
        <v>746.8</v>
      </c>
      <c r="C5" s="27" t="n">
        <v>779.8</v>
      </c>
    </row>
    <row r="6" customFormat="false" ht="15" hidden="false" customHeight="false" outlineLevel="0" collapsed="false">
      <c r="A6" s="26" t="s">
        <v>55</v>
      </c>
      <c r="B6" s="27" t="n">
        <v>626.6</v>
      </c>
      <c r="C6" s="27" t="n">
        <v>828.2</v>
      </c>
    </row>
    <row r="7" customFormat="false" ht="15" hidden="false" customHeight="false" outlineLevel="0" collapsed="false">
      <c r="A7" s="29" t="s">
        <v>20</v>
      </c>
      <c r="B7" s="32" t="n">
        <f aca="false">B6/B5</f>
        <v>0.839046598821639</v>
      </c>
      <c r="C7" s="32" t="n">
        <f aca="false">C6/C5</f>
        <v>1.06206719671711</v>
      </c>
    </row>
    <row r="9" customFormat="false" ht="15" hidden="false" customHeight="false" outlineLevel="0" collapsed="false">
      <c r="A9" s="26" t="s">
        <v>70</v>
      </c>
      <c r="B9" s="27" t="n">
        <v>4724</v>
      </c>
      <c r="C9" s="27" t="n">
        <v>5069</v>
      </c>
    </row>
    <row r="10" customFormat="false" ht="15" hidden="false" customHeight="false" outlineLevel="0" collapsed="false">
      <c r="A10" s="26" t="s">
        <v>71</v>
      </c>
      <c r="B10" s="33" t="n">
        <f aca="false">B4/B9</f>
        <v>-0.0224597798475868</v>
      </c>
      <c r="C10" s="33" t="n">
        <f aca="false">C4/C9</f>
        <v>0.014933912014204</v>
      </c>
    </row>
    <row r="12" customFormat="false" ht="15" hidden="false" customHeight="false" outlineLevel="0" collapsed="false">
      <c r="A12" s="34"/>
    </row>
    <row r="13" customFormat="false" ht="15" hidden="false" customHeight="false" outlineLevel="0" collapsed="false">
      <c r="A13" s="14" t="s">
        <v>72</v>
      </c>
    </row>
    <row r="14" customFormat="false" ht="42" hidden="false" customHeight="true" outlineLevel="0" collapsed="false">
      <c r="A14" s="35" t="s">
        <v>73</v>
      </c>
      <c r="B14" s="35"/>
      <c r="C14" s="35"/>
      <c r="D14" s="35"/>
    </row>
    <row r="15" customFormat="false" ht="15" hidden="false" customHeight="false" outlineLevel="0" collapsed="false">
      <c r="A15" s="34"/>
    </row>
    <row r="16" customFormat="false" ht="15" hidden="false" customHeight="false" outlineLevel="0" collapsed="false">
      <c r="A16" s="14" t="s">
        <v>74</v>
      </c>
    </row>
    <row r="17" customFormat="false" ht="55.5" hidden="false" customHeight="true" outlineLevel="0" collapsed="false">
      <c r="A17" s="35" t="s">
        <v>75</v>
      </c>
      <c r="B17" s="35"/>
      <c r="C17" s="35"/>
      <c r="D17" s="35"/>
    </row>
    <row r="18" customFormat="false" ht="15" hidden="false" customHeight="false" outlineLevel="0" collapsed="false">
      <c r="A18" s="34"/>
    </row>
    <row r="19" customFormat="false" ht="15" hidden="false" customHeight="false" outlineLevel="0" collapsed="false">
      <c r="A19" s="14" t="s">
        <v>76</v>
      </c>
    </row>
    <row r="20" customFormat="false" ht="27.75" hidden="false" customHeight="true" outlineLevel="0" collapsed="false">
      <c r="A20" s="35" t="s">
        <v>77</v>
      </c>
      <c r="B20" s="35"/>
      <c r="C20" s="35"/>
      <c r="D20" s="35"/>
    </row>
  </sheetData>
  <mergeCells count="4">
    <mergeCell ref="A1:D1"/>
    <mergeCell ref="A14:D14"/>
    <mergeCell ref="A17:D17"/>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4" min="2" style="0" width="13"/>
  </cols>
  <sheetData>
    <row r="1" customFormat="false" ht="17.35" hidden="false" customHeight="false" outlineLevel="0" collapsed="false">
      <c r="A1" s="23" t="s">
        <v>78</v>
      </c>
      <c r="B1" s="23"/>
      <c r="C1" s="23"/>
      <c r="D1" s="23"/>
    </row>
    <row r="3" customFormat="false" ht="15" hidden="false" customHeight="false" outlineLevel="0" collapsed="false">
      <c r="A3" s="24" t="s">
        <v>44</v>
      </c>
      <c r="B3" s="25" t="s">
        <v>79</v>
      </c>
      <c r="C3" s="25" t="s">
        <v>45</v>
      </c>
      <c r="D3" s="25" t="s">
        <v>46</v>
      </c>
    </row>
    <row r="4" customFormat="false" ht="15" hidden="false" customHeight="false" outlineLevel="0" collapsed="false">
      <c r="A4" s="26" t="s">
        <v>70</v>
      </c>
      <c r="B4" s="27" t="n">
        <v>4756</v>
      </c>
      <c r="C4" s="27" t="n">
        <v>4724</v>
      </c>
      <c r="D4" s="27" t="n">
        <v>5069</v>
      </c>
    </row>
    <row r="5" customFormat="false" ht="15" hidden="false" customHeight="false" outlineLevel="0" collapsed="false">
      <c r="A5" s="26" t="s">
        <v>80</v>
      </c>
      <c r="B5" s="27" t="n">
        <v>161</v>
      </c>
      <c r="C5" s="27" t="n">
        <v>204.3</v>
      </c>
      <c r="D5" s="27" t="n">
        <v>222.8</v>
      </c>
    </row>
    <row r="6" customFormat="false" ht="15" hidden="false" customHeight="false" outlineLevel="0" collapsed="false">
      <c r="A6" s="26" t="s">
        <v>18</v>
      </c>
      <c r="B6" s="33" t="n">
        <f aca="false">B5/B4</f>
        <v>0.033851976450799</v>
      </c>
      <c r="C6" s="33" t="n">
        <f aca="false">C5/C4</f>
        <v>0.0432472480948349</v>
      </c>
      <c r="D6" s="33" t="n">
        <f aca="false">D5/D4</f>
        <v>0.0439534424935885</v>
      </c>
    </row>
    <row r="8" customFormat="false" ht="15" hidden="false" customHeight="false" outlineLevel="0" collapsed="false">
      <c r="A8" s="21" t="s">
        <v>81</v>
      </c>
    </row>
    <row r="9" customFormat="false" ht="15" hidden="false" customHeight="false" outlineLevel="0" collapsed="false">
      <c r="A9" s="26" t="s">
        <v>66</v>
      </c>
      <c r="C9" s="27" t="n">
        <v>53.9</v>
      </c>
      <c r="D9" s="27" t="n">
        <v>113.5</v>
      </c>
    </row>
    <row r="10" customFormat="false" ht="15" hidden="false" customHeight="false" outlineLevel="0" collapsed="false">
      <c r="A10" s="26" t="s">
        <v>56</v>
      </c>
      <c r="C10" s="27" t="n">
        <v>-219.3</v>
      </c>
      <c r="D10" s="27" t="n">
        <v>-156.4</v>
      </c>
    </row>
    <row r="11" customFormat="false" ht="15" hidden="false" customHeight="false" outlineLevel="0" collapsed="false">
      <c r="A11" s="26" t="s">
        <v>58</v>
      </c>
      <c r="C11" s="27" t="n">
        <v>-16.7</v>
      </c>
      <c r="D11" s="27" t="n">
        <v>-86.5</v>
      </c>
    </row>
    <row r="12" customFormat="false" ht="15" hidden="false" customHeight="false" outlineLevel="0" collapsed="false">
      <c r="A12" s="26" t="s">
        <v>82</v>
      </c>
      <c r="C12" s="27" t="n">
        <v>-117.6</v>
      </c>
      <c r="D12" s="27" t="n">
        <v>-91.8</v>
      </c>
    </row>
    <row r="13" customFormat="false" ht="15" hidden="false" customHeight="false" outlineLevel="0" collapsed="false">
      <c r="A13" s="26" t="s">
        <v>83</v>
      </c>
      <c r="C13" s="27" t="n">
        <v>-29.5</v>
      </c>
      <c r="D13" s="27" t="n">
        <v>-34.2</v>
      </c>
    </row>
    <row r="14" customFormat="false" ht="15" hidden="false" customHeight="false" outlineLevel="0" collapsed="false">
      <c r="A14" s="26" t="s">
        <v>23</v>
      </c>
      <c r="C14" s="36" t="n">
        <v>5.5</v>
      </c>
      <c r="D14" s="36" t="n">
        <v>6.5</v>
      </c>
    </row>
    <row r="15" customFormat="false" ht="15" hidden="false" customHeight="false" outlineLevel="0" collapsed="false">
      <c r="A15" s="26" t="s">
        <v>84</v>
      </c>
      <c r="C15" s="27" t="n">
        <v>-64.1</v>
      </c>
      <c r="D15" s="27" t="n">
        <v>86.9</v>
      </c>
    </row>
    <row r="17" customFormat="false" ht="15" hidden="false" customHeight="true" outlineLevel="0" collapsed="false">
      <c r="A17" s="37" t="s">
        <v>85</v>
      </c>
      <c r="B17" s="37"/>
      <c r="C17" s="37"/>
      <c r="D17" s="37"/>
    </row>
    <row r="18" customFormat="false" ht="15" hidden="false" customHeight="false" outlineLevel="0" collapsed="false">
      <c r="A18" s="37"/>
      <c r="B18" s="37"/>
      <c r="C18" s="37"/>
      <c r="D18" s="37"/>
    </row>
    <row r="19" customFormat="false" ht="15" hidden="false" customHeight="false" outlineLevel="0" collapsed="false">
      <c r="A19" s="37"/>
      <c r="B19" s="37"/>
      <c r="C19" s="37"/>
      <c r="D19" s="37"/>
    </row>
  </sheetData>
  <mergeCells count="2">
    <mergeCell ref="A1:D1"/>
    <mergeCell ref="A17: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2026-06-30T01:50:25Z</dcterms:created>
  <dc:creator>openpyxl</dc:creator>
  <dc:description/>
  <dc:language>en-US</dc:language>
  <cp:lastModifiedBy/>
  <dcterms:modified xsi:type="dcterms:W3CDTF">2026-06-30T01:50:31Z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