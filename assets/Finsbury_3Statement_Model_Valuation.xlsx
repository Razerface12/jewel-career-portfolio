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 Me" sheetId="2" state="visible" r:id="rId4"/>
    <sheet name="Assumptions" sheetId="3" state="visible" r:id="rId5"/>
    <sheet name="Income Statement" sheetId="4" state="visible" r:id="rId6"/>
    <sheet name="Cash Flow" sheetId="5" state="visible" r:id="rId7"/>
    <sheet name="Balance Sheet" sheetId="6" state="visible" r:id="rId8"/>
    <sheet name="DCF Valuation" sheetId="7" state="visible" r:id="rId9"/>
  </sheets>
  <definedNames>
    <definedName function="false" hidden="false" localSheetId="0" name="_xlnm.Print_Area" vbProcedure="false">Dashboard!$A$1:$T$40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JT</author>
  </authors>
  <commentList>
    <comment ref="B4" authorId="0">
      <text>
        <r>
          <rPr>
            <sz val="10"/>
            <rFont val="Arial"/>
            <family val="2"/>
          </rPr>
          <t xml:space="preserve">Source: Finsbury Food Group annual reports / FY results. FY19 £315.3m; FY20 £306.3m; FY21 £313.3m; FY22 £356.8m; FY23 £413.7m (+16.0%). finsburyfoods.co.uk / Investegate.</t>
        </r>
      </text>
    </comment>
    <comment ref="B5" authorId="0">
      <text>
        <r>
          <rPr>
            <sz val="10"/>
            <rFont val="Arial"/>
            <family val="2"/>
          </rPr>
          <t xml:space="preserve">Source: FFG adjusted EBITDA. FY19 £25.5m; FY21 £26.9m; FY22 £28.7m; FY23 £31.3m (+8.8%). FY20 £21.0m = analyst estimate (COVID year; adj PBT fell to £13.9m).</t>
        </r>
      </text>
    </comment>
  </commentList>
</comments>
</file>

<file path=xl/comments4.xml><?xml version="1.0" encoding="utf-8"?>
<comments xmlns="http://schemas.openxmlformats.org/spreadsheetml/2006/main" xmlns:xdr="http://schemas.openxmlformats.org/drawingml/2006/spreadsheetDrawing">
  <authors>
    <author>JT</author>
  </authors>
  <commentList>
    <comment ref="B13" authorId="0">
      <text>
        <r>
          <rPr>
            <sz val="10"/>
            <rFont val="Arial"/>
            <family val="2"/>
          </rPr>
          <t xml:space="preserve">Reported adjusted PBT: FY20 £13.9m; FY22 £17.0m; FY23 £17.7m. Source: FFG results / Investegate. Model PBT is driver-based and approximates these.</t>
        </r>
      </text>
    </comment>
  </commentList>
</comments>
</file>

<file path=xl/comments6.xml><?xml version="1.0" encoding="utf-8"?>
<comments xmlns="http://schemas.openxmlformats.org/spreadsheetml/2006/main" xmlns:xdr="http://schemas.openxmlformats.org/drawingml/2006/spreadsheetDrawing">
  <authors>
    <author>JT</author>
  </authors>
  <commentList>
    <comment ref="B4" authorId="0">
      <text>
        <r>
          <rPr>
            <sz val="10"/>
            <rFont val="Arial"/>
            <family val="2"/>
          </rPr>
          <t xml:space="preserve">FY19 opening net debt — analyst estimate (~£40m before £35.6m close).</t>
        </r>
      </text>
    </comment>
    <comment ref="B8" authorId="0">
      <text>
        <r>
          <rPr>
            <sz val="10"/>
            <rFont val="Arial"/>
            <family val="2"/>
          </rPr>
          <t xml:space="preserve">Reported net bank debt (excl IFRS16): FY19 £35.6m; FY21 £13.1m; FY22 £20.6m; FY23 £21.4m. FY20 £30.0m estimate. Source: FFG results.</t>
        </r>
      </text>
    </comment>
    <comment ref="B11" authorId="0">
      <text>
        <r>
          <rPr>
            <sz val="10"/>
            <rFont val="Arial"/>
            <family val="2"/>
          </rPr>
          <t xml:space="preserve">FY19 opening equity — analyst estimate (book equity ~£95m).</t>
        </r>
      </text>
    </comment>
  </commentList>
</comments>
</file>

<file path=xl/comments7.xml><?xml version="1.0" encoding="utf-8"?>
<comments xmlns="http://schemas.openxmlformats.org/spreadsheetml/2006/main" xmlns:xdr="http://schemas.openxmlformats.org/drawingml/2006/spreadsheetDrawing">
  <authors>
    <author>JT</author>
  </authors>
  <commentList>
    <comment ref="E21" authorId="0">
      <text>
        <r>
          <rPr>
            <sz val="10"/>
            <rFont val="Arial"/>
            <family val="2"/>
          </rPr>
          <t xml:space="preserve">Source: DBAY recommended acquisition, 20 Sep 2023, 110p/share = £143.4m; 24% premium to 89p prior close. The Grocer / Investegate.</t>
        </r>
      </text>
    </comment>
  </commentList>
</comments>
</file>

<file path=xl/sharedStrings.xml><?xml version="1.0" encoding="utf-8"?>
<sst xmlns="http://schemas.openxmlformats.org/spreadsheetml/2006/main" count="195" uniqueCount="158">
  <si>
    <t xml:space="preserve">FINSBURY FOOD GROUP PLC  -  Operating Model &amp; DCF Valuation</t>
  </si>
  <si>
    <t xml:space="preserve">Equity research case study  |  Prepared by Jewel Thomas  |  GBP millions unless stated  |  FY2019A - FY2026E</t>
  </si>
  <si>
    <t xml:space="preserve">FY23 REVENUE</t>
  </si>
  <si>
    <t xml:space="preserve">FY23 ADJ. EBITDA</t>
  </si>
  <si>
    <t xml:space="preserve">DCF VALUE / SHARE</t>
  </si>
  <si>
    <t xml:space="preserve">UPSIDE vs 110p OFFER</t>
  </si>
  <si>
    <t xml:space="preserve">PV explicit FCF</t>
  </si>
  <si>
    <t xml:space="preserve">PV terminal value</t>
  </si>
  <si>
    <t xml:space="preserve">vs 2023 take-private</t>
  </si>
  <si>
    <t xml:space="preserve">Enterprise value</t>
  </si>
  <si>
    <t xml:space="preserve">Less net debt</t>
  </si>
  <si>
    <t xml:space="preserve">REVENUE &amp; ADJ. EBITDA TRAJECTORY</t>
  </si>
  <si>
    <t xml:space="preserve">VALUATION BRIDGE (GBP m)</t>
  </si>
  <si>
    <t xml:space="preserve">Equity value</t>
  </si>
  <si>
    <t xml:space="preserve">VALUATION SUMMARY (DCF base case)</t>
  </si>
  <si>
    <t xml:space="preserve">Enterprise value (GBP m)</t>
  </si>
  <si>
    <t xml:space="preserve">Less: net bank debt (GBP m)</t>
  </si>
  <si>
    <t xml:space="preserve">Equity value (GBP m)</t>
  </si>
  <si>
    <t xml:space="preserve">Value per share (pence)</t>
  </si>
  <si>
    <t xml:space="preserve">WACC</t>
  </si>
  <si>
    <t xml:space="preserve">Terminal growth</t>
  </si>
  <si>
    <t xml:space="preserve">Implied EV / FY23 EBITDA</t>
  </si>
  <si>
    <t xml:space="preserve">DBAY take-private (pence)</t>
  </si>
  <si>
    <t xml:space="preserve">Implied upside vs offer</t>
  </si>
  <si>
    <t xml:space="preserve">Full assumptions, statements and sensitivity grid on the following tabs. Reported figures in blue; estimates in black.</t>
  </si>
  <si>
    <t xml:space="preserve">FINSBURY FOOD GROUP PLC</t>
  </si>
  <si>
    <t xml:space="preserve">Integrated Operating Model &amp; DCF Valuation</t>
  </si>
  <si>
    <t xml:space="preserve">Prepared by Jewel Thomas  |  Portfolio analysis  |  Units: £ millions unless stated</t>
  </si>
  <si>
    <t xml:space="preserve">PURPOSE</t>
  </si>
  <si>
    <t xml:space="preserve">A demonstration equity model: three linked statements (income statement, cash flow, condensed balance sheet) feeding a discounted-cash-flow valuation of Finsbury Food Group, a UK speciality bakery manufacturer.</t>
  </si>
  <si>
    <t xml:space="preserve">DATA INTEGRITY — PLEASE READ</t>
  </si>
  <si>
    <t xml:space="preserve">This is an analyst's model, not a copy of the company's accounts.</t>
  </si>
  <si>
    <t xml:space="preserve">Reported figures (BLUE text)</t>
  </si>
  <si>
    <t xml:space="preserve">Revenue, adjusted EBITDA, adjusted profit before tax, net bank debt, gross margin and dividend per share are taken from Finsbury Food Group's published annual reports and full-year results (FY2019–FY2023). Each carries a cell comment citing the source.</t>
  </si>
  <si>
    <t xml:space="preserve">Estimates (BLACK / driver-based)</t>
  </si>
  <si>
    <t xml:space="preserve">All other line items, the FY2020 EBITDA split, and every forecast year (FY2024E–FY2026E) are analyst estimates built from the stated assumptions on the 'Assumptions' tab. They are illustrative of methodology, not guidance.</t>
  </si>
  <si>
    <t xml:space="preserve">Condensed balance sheet</t>
  </si>
  <si>
    <t xml:space="preserve">Finsbury was taken private in November 2023, so granular post-FY23 balance-sheet detail is not public. The balance sheet here is a condensed capital-employed view (net debt + equity) that balances by construction; a labelled 'other net assets' line absorbs estimation noise.</t>
  </si>
  <si>
    <t xml:space="preserve">HOW IT LINKS</t>
  </si>
  <si>
    <t xml:space="preserve">Assumptions -&gt; Income Statement -&gt; Cash Flow (free cash flow) -&gt; Balance Sheet (net debt &amp; equity roll-forward) -&gt; DCF (PV of FCF + terminal value, EV-to-equity bridge, per-share value + sensitivity).</t>
  </si>
  <si>
    <t xml:space="preserve">KEY HISTORICAL FACTS</t>
  </si>
  <si>
    <t xml:space="preserve">Revenue grew from £315.3m (FY2019) to £413.7m (FY2023, +16.0% YoY, boosted by the Lees of Scotland acquisition). Adjusted EBITDA reached £31.3m (FY2023, +8.8%). Net bank debt £21.4m = 0.7x EBITDA. Gross margin compressed to 30.0% (FY22: 32.4%) on input-cost inflation.</t>
  </si>
  <si>
    <t xml:space="preserve">SOURCES</t>
  </si>
  <si>
    <t xml:space="preserve">Finsbury Food Group FY2023 full-year results &amp; results presentation (finsburyfoods.co.uk); FY2022 Annual Report (Achieving Brilliance); FY2019 Annual Report &amp; Accounts; Investegate / preliminary results announcements. Full URLs in the cell comments and on the 'Assumptions' tab.</t>
  </si>
  <si>
    <t xml:space="preserve">DISCLAIMER</t>
  </si>
  <si>
    <t xml:space="preserve">For portfolio / educational purposes only. Not investment advice and not affiliated with or endorsed by Finsbury Food Group.</t>
  </si>
  <si>
    <t xml:space="preserve">ASSUMPTIONS &amp; DRIVERS</t>
  </si>
  <si>
    <t xml:space="preserve">Blue = input you can change for scenarios.  Black = calculated.</t>
  </si>
  <si>
    <t xml:space="preserve">£ millions</t>
  </si>
  <si>
    <t xml:space="preserve">FY2019A</t>
  </si>
  <si>
    <t xml:space="preserve">FY2020A</t>
  </si>
  <si>
    <t xml:space="preserve">FY2021A</t>
  </si>
  <si>
    <t xml:space="preserve">FY2022A</t>
  </si>
  <si>
    <t xml:space="preserve">FY2023A</t>
  </si>
  <si>
    <t xml:space="preserve">FY2024E</t>
  </si>
  <si>
    <t xml:space="preserve">FY2025E</t>
  </si>
  <si>
    <t xml:space="preserve">FY2026E</t>
  </si>
  <si>
    <t xml:space="preserve">Revenue (reported)</t>
  </si>
  <si>
    <t xml:space="preserve">Adjusted EBITDA (reported)</t>
  </si>
  <si>
    <t xml:space="preserve">Revenue growth % (forecast)</t>
  </si>
  <si>
    <t xml:space="preserve">EBITDA margin % (forecast)</t>
  </si>
  <si>
    <t xml:space="preserve">D&amp;A as % of revenue</t>
  </si>
  <si>
    <t xml:space="preserve">Analyst estimate: ties FY23 adj EBITDA £31.3m to adj PBT £17.7m with net finance ~£2.8m.</t>
  </si>
  <si>
    <t xml:space="preserve">Capex as % of revenue</t>
  </si>
  <si>
    <t xml:space="preserve">Analyst estimate (maintenance + capacity).</t>
  </si>
  <si>
    <t xml:space="preserve">Net working capital as % of revenue</t>
  </si>
  <si>
    <t xml:space="preserve">Analyst estimate; bakery-to-retail supplier terms keep NWC modest.</t>
  </si>
  <si>
    <t xml:space="preserve">Net finance cost (% of opening net debt)</t>
  </si>
  <si>
    <t xml:space="preserve">Analyst estimate of blended borrowing cost.</t>
  </si>
  <si>
    <t xml:space="preserve">Effective tax rate</t>
  </si>
  <si>
    <t xml:space="preserve">UK corporation tax basis (25% headline; reliefs).</t>
  </si>
  <si>
    <t xml:space="preserve">Dividend payout (% of net income)</t>
  </si>
  <si>
    <t xml:space="preserve">Analyst estimate; FY23 full-year DPS 2.60p.</t>
  </si>
  <si>
    <t xml:space="preserve">VALUATION INPUTS (DCF)</t>
  </si>
  <si>
    <t xml:space="preserve">Risk-free rate</t>
  </si>
  <si>
    <t xml:space="preserve">UK 10y gilt ~ assumption.</t>
  </si>
  <si>
    <t xml:space="preserve">Equity risk premium</t>
  </si>
  <si>
    <t xml:space="preserve">Long-run UK ERP assumption.</t>
  </si>
  <si>
    <t xml:space="preserve">Beta (re-levered)</t>
  </si>
  <si>
    <t xml:space="preserve">Defensive food sector; analyst estimate.</t>
  </si>
  <si>
    <t xml:space="preserve">Cost of debt (pre-tax)</t>
  </si>
  <si>
    <t xml:space="preserve">Blended borrowing cost.</t>
  </si>
  <si>
    <t xml:space="preserve">Target debt / (debt+equity)</t>
  </si>
  <si>
    <t xml:space="preserve">Modest leverage (0.7x EBITDA).</t>
  </si>
  <si>
    <t xml:space="preserve">Terminal growth rate</t>
  </si>
  <si>
    <t xml:space="preserve">~ long-run UK nominal GDP/inflation.</t>
  </si>
  <si>
    <t xml:space="preserve">Shares in issue (millions)</t>
  </si>
  <si>
    <t xml:space="preserve">FFG shares outstanding ~130.7m (pre take-private).</t>
  </si>
  <si>
    <t xml:space="preserve">Net bank debt at valuation date (FY2023A)</t>
  </si>
  <si>
    <t xml:space="preserve">Reported FY23 net bank debt (excl. IFRS16).</t>
  </si>
  <si>
    <t xml:space="preserve">INCOME STATEMENT  (adjusted / underlying basis, £m)</t>
  </si>
  <si>
    <t xml:space="preserve">Revenue</t>
  </si>
  <si>
    <t xml:space="preserve">   growth %</t>
  </si>
  <si>
    <t xml:space="preserve">Adjusted EBITDA</t>
  </si>
  <si>
    <t xml:space="preserve">   EBITDA margin %</t>
  </si>
  <si>
    <t xml:space="preserve">Depreciation &amp; amortisation</t>
  </si>
  <si>
    <t xml:space="preserve">Adjusted EBIT (operating profit)</t>
  </si>
  <si>
    <t xml:space="preserve">   EBIT margin %</t>
  </si>
  <si>
    <t xml:space="preserve">Net finance costs</t>
  </si>
  <si>
    <t xml:space="preserve">Adjusted profit before tax</t>
  </si>
  <si>
    <t xml:space="preserve">   reported adj PBT (cross-check)</t>
  </si>
  <si>
    <t xml:space="preserve">Taxation</t>
  </si>
  <si>
    <t xml:space="preserve">Net income (underlying)</t>
  </si>
  <si>
    <t xml:space="preserve">Dividends</t>
  </si>
  <si>
    <t xml:space="preserve">Retained earnings</t>
  </si>
  <si>
    <t xml:space="preserve">CASH FLOW &amp; FREE CASH FLOW (£m)</t>
  </si>
  <si>
    <t xml:space="preserve">Adjusted EBIT</t>
  </si>
  <si>
    <t xml:space="preserve">Less: cash tax on EBIT</t>
  </si>
  <si>
    <t xml:space="preserve">Add: depreciation &amp; amortisation</t>
  </si>
  <si>
    <t xml:space="preserve">Net working capital (level)</t>
  </si>
  <si>
    <t xml:space="preserve">Less: increase in NWC</t>
  </si>
  <si>
    <t xml:space="preserve">Less: capital expenditure</t>
  </si>
  <si>
    <t xml:space="preserve">Unlevered free cash flow (FCFF)</t>
  </si>
  <si>
    <t xml:space="preserve">Less: net finance costs (after tax)</t>
  </si>
  <si>
    <t xml:space="preserve">Less: dividends paid</t>
  </si>
  <si>
    <t xml:space="preserve">Free cash flow to equity (after div)</t>
  </si>
  <si>
    <t xml:space="preserve">CONDENSED BALANCE SHEET — Capital Employed (£m)</t>
  </si>
  <si>
    <t xml:space="preserve">Net bank debt — opening</t>
  </si>
  <si>
    <t xml:space="preserve">Less: free cash flow to equity</t>
  </si>
  <si>
    <t xml:space="preserve">Net debt before reported overlay</t>
  </si>
  <si>
    <t xml:space="preserve">Reported net debt (override, hist)</t>
  </si>
  <si>
    <t xml:space="preserve">Net bank debt — closing</t>
  </si>
  <si>
    <t xml:space="preserve">Shareholders' equity — opening</t>
  </si>
  <si>
    <t xml:space="preserve">Add: retained earnings</t>
  </si>
  <si>
    <t xml:space="preserve">Shareholders' equity — closing</t>
  </si>
  <si>
    <t xml:space="preserve">Capital employed (net debt + equity)</t>
  </si>
  <si>
    <t xml:space="preserve">Funded by — fixed assets (PP&amp;E + intangibles)</t>
  </si>
  <si>
    <t xml:space="preserve">Net working capital</t>
  </si>
  <si>
    <t xml:space="preserve">Other net assets (balancing, est.)</t>
  </si>
  <si>
    <t xml:space="preserve">Check: composition = capital employed</t>
  </si>
  <si>
    <t xml:space="preserve">DCF VALUATION (£m unless stated)</t>
  </si>
  <si>
    <t xml:space="preserve">WACC build</t>
  </si>
  <si>
    <t xml:space="preserve">Beta x Equity risk premium</t>
  </si>
  <si>
    <t xml:space="preserve">Cost of equity</t>
  </si>
  <si>
    <t xml:space="preserve">Cost of debt (after tax)</t>
  </si>
  <si>
    <t xml:space="preserve">Weight of equity</t>
  </si>
  <si>
    <t xml:space="preserve">Weight of debt</t>
  </si>
  <si>
    <t xml:space="preserve">Discounted cash flow</t>
  </si>
  <si>
    <t xml:space="preserve">Terminal</t>
  </si>
  <si>
    <t xml:space="preserve">Unlevered FCF (FCFF)</t>
  </si>
  <si>
    <t xml:space="preserve">Discount period (years)</t>
  </si>
  <si>
    <t xml:space="preserve">Discount factor @ WACC</t>
  </si>
  <si>
    <t xml:space="preserve">Present value</t>
  </si>
  <si>
    <t xml:space="preserve">Sum of PV of explicit FCF (FY24-26)</t>
  </si>
  <si>
    <t xml:space="preserve">REALITY CHECK vs 2023 TAKE-PRIVATE</t>
  </si>
  <si>
    <t xml:space="preserve">PV of terminal value</t>
  </si>
  <si>
    <t xml:space="preserve">DBAY offer price (Sep 2023), pence</t>
  </si>
  <si>
    <t xml:space="preserve">Prior close pre-bid, pence</t>
  </si>
  <si>
    <t xml:space="preserve">Less: net bank debt (FY2023A)</t>
  </si>
  <si>
    <t xml:space="preserve">Model implied value, pence</t>
  </si>
  <si>
    <t xml:space="preserve">Shares in issue (m)</t>
  </si>
  <si>
    <t xml:space="preserve">Two institutional holders publicly opposed the 110p deal as undervaluing FFG — consistent with this DCF.</t>
  </si>
  <si>
    <t xml:space="preserve">Implied value per share (£)</t>
  </si>
  <si>
    <t xml:space="preserve">Implied value per share (pence)</t>
  </si>
  <si>
    <t xml:space="preserve">Context: Finsbury was taken private in Nov 2023 (DBAY Advisors). This DCF is an independent estimate for portfolio demonstration.</t>
  </si>
  <si>
    <t xml:space="preserve">SENSITIVITY — implied value per share (pence)</t>
  </si>
  <si>
    <t xml:space="preserve">WACC (down) / terminal g (across)</t>
  </si>
  <si>
    <t xml:space="preserve">g =</t>
  </si>
</sst>
</file>

<file path=xl/styles.xml><?xml version="1.0" encoding="utf-8"?>
<styleSheet xmlns="http://schemas.openxmlformats.org/spreadsheetml/2006/main">
  <numFmts count="16">
    <numFmt numFmtId="164" formatCode="General"/>
    <numFmt numFmtId="165" formatCode="#,##0.0;\(#,##0.0\);\-"/>
    <numFmt numFmtId="166" formatCode="#,##0.0\m"/>
    <numFmt numFmtId="167" formatCode="0\p"/>
    <numFmt numFmtId="168" formatCode="\+0%;\-0%"/>
    <numFmt numFmtId="169" formatCode="\+0.0%&quot; YoY&quot;;\-0.0%&quot; YoY&quot;"/>
    <numFmt numFmtId="170" formatCode="0.0&quot;x EV/EBITDA&quot;"/>
    <numFmt numFmtId="171" formatCode="0.0\p"/>
    <numFmt numFmtId="172" formatCode="0.0%;\(0.0%\);\-"/>
    <numFmt numFmtId="173" formatCode="0.0\x"/>
    <numFmt numFmtId="174" formatCode="0.00"/>
    <numFmt numFmtId="175" formatCode="#,##0.0"/>
    <numFmt numFmtId="176" formatCode="0.0"/>
    <numFmt numFmtId="177" formatCode="0.000"/>
    <numFmt numFmtId="178" formatCode="\£0.00"/>
    <numFmt numFmtId="179" formatCode="#,##0"/>
  </numFmts>
  <fonts count="3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6B7892"/>
      <name val="Arial"/>
      <family val="0"/>
      <charset val="1"/>
    </font>
    <font>
      <b val="true"/>
      <sz val="8"/>
      <color rgb="FF6B7892"/>
      <name val="Arial"/>
      <family val="0"/>
      <charset val="1"/>
    </font>
    <font>
      <b val="true"/>
      <sz val="8"/>
      <color rgb="FF9FB2CC"/>
      <name val="Arial"/>
      <family val="0"/>
      <charset val="1"/>
    </font>
    <font>
      <i val="true"/>
      <sz val="8"/>
      <color rgb="FF6B7892"/>
      <name val="Arial"/>
      <family val="0"/>
      <charset val="1"/>
    </font>
    <font>
      <b val="true"/>
      <sz val="20"/>
      <color rgb="FF11203A"/>
      <name val="Arial"/>
      <family val="0"/>
      <charset val="1"/>
    </font>
    <font>
      <b val="true"/>
      <sz val="20"/>
      <color rgb="FFFFFFFF"/>
      <name val="Arial"/>
      <family val="0"/>
      <charset val="1"/>
    </font>
    <font>
      <b val="true"/>
      <sz val="9"/>
      <color rgb="FF1E8E63"/>
      <name val="Arial"/>
      <family val="0"/>
      <charset val="1"/>
    </font>
    <font>
      <b val="true"/>
      <sz val="9"/>
      <color rgb="FF69C7BD"/>
      <name val="Arial"/>
      <family val="0"/>
      <charset val="1"/>
    </font>
    <font>
      <b val="true"/>
      <sz val="9"/>
      <color rgb="FF0F1B2D"/>
      <name val="Arial"/>
      <family val="0"/>
      <charset val="1"/>
    </font>
    <font>
      <sz val="10"/>
      <color rgb="FF000000"/>
      <name val="Arial"/>
      <family val="0"/>
      <charset val="1"/>
    </font>
    <font>
      <b val="true"/>
      <sz val="10"/>
      <name val="Arial"/>
      <family val="0"/>
      <charset val="1"/>
    </font>
    <font>
      <sz val="10"/>
      <color rgb="FF000000"/>
      <name val="Calibri"/>
      <family val="2"/>
    </font>
    <font>
      <b val="true"/>
      <sz val="10"/>
      <color rgb="FF000000"/>
      <name val="Calibri"/>
      <family val="2"/>
    </font>
    <font>
      <b val="true"/>
      <sz val="18"/>
      <color rgb="FF0F1B2D"/>
      <name val="Arial"/>
      <family val="0"/>
      <charset val="1"/>
    </font>
    <font>
      <b val="true"/>
      <sz val="12"/>
      <color rgb="FF1F6F6B"/>
      <name val="Arial"/>
      <family val="0"/>
      <charset val="1"/>
    </font>
    <font>
      <b val="true"/>
      <sz val="10"/>
      <color rgb="FF0F1B2D"/>
      <name val="Arial"/>
      <family val="0"/>
      <charset val="1"/>
    </font>
    <font>
      <sz val="10"/>
      <name val="Arial"/>
      <family val="0"/>
      <charset val="1"/>
    </font>
    <font>
      <b val="true"/>
      <sz val="14"/>
      <color rgb="FFFFFFFF"/>
      <name val="Arial"/>
      <family val="0"/>
      <charset val="1"/>
    </font>
    <font>
      <sz val="10"/>
      <color rgb="FF0000FF"/>
      <name val="Arial"/>
      <family val="0"/>
      <charset val="1"/>
    </font>
    <font>
      <i val="true"/>
      <sz val="10"/>
      <color rgb="FF0000FF"/>
      <name val="Arial"/>
      <family val="0"/>
      <charset val="1"/>
    </font>
    <font>
      <b val="true"/>
      <sz val="11"/>
      <color rgb="FF0F1B2D"/>
      <name val="Arial"/>
      <family val="0"/>
      <charset val="1"/>
    </font>
    <font>
      <sz val="10"/>
      <name val="Arial"/>
      <family val="2"/>
    </font>
    <font>
      <b val="true"/>
      <sz val="10"/>
      <color rgb="FF008000"/>
      <name val="Arial"/>
      <family val="0"/>
      <charset val="1"/>
    </font>
    <font>
      <b val="true"/>
      <sz val="10"/>
      <color rgb="FF000000"/>
      <name val="Arial"/>
      <family val="0"/>
      <charset val="1"/>
    </font>
    <font>
      <sz val="10"/>
      <color rgb="FF008000"/>
      <name val="Arial"/>
      <family val="0"/>
      <charset val="1"/>
    </font>
    <font>
      <i val="true"/>
      <sz val="8"/>
      <color rgb="FF0000FF"/>
      <name val="Arial"/>
      <family val="0"/>
      <charset val="1"/>
    </font>
  </fonts>
  <fills count="6">
    <fill>
      <patternFill patternType="none"/>
    </fill>
    <fill>
      <patternFill patternType="gray125"/>
    </fill>
    <fill>
      <patternFill patternType="solid">
        <fgColor rgb="FF0F1B2D"/>
        <bgColor rgb="FF11203A"/>
      </patternFill>
    </fill>
    <fill>
      <patternFill patternType="solid">
        <fgColor rgb="FFFFFFFF"/>
        <bgColor rgb="FFF9F9F9"/>
      </patternFill>
    </fill>
    <fill>
      <patternFill patternType="solid">
        <fgColor rgb="FFEEF2F8"/>
        <bgColor rgb="FFEEF2F7"/>
      </patternFill>
    </fill>
    <fill>
      <patternFill patternType="solid">
        <fgColor rgb="FFFFF7D6"/>
        <bgColor rgb="FFF9F9F9"/>
      </patternFill>
    </fill>
  </fills>
  <borders count="5">
    <border diagonalUp="false" diagonalDown="false">
      <left/>
      <right/>
      <top/>
      <bottom/>
      <diagonal/>
    </border>
    <border diagonalUp="false" diagonalDown="false">
      <left style="thin">
        <color rgb="FFE7ECF3"/>
      </left>
      <right style="thin">
        <color rgb="FFE7ECF3"/>
      </right>
      <top style="thin">
        <color rgb="FFE7ECF3"/>
      </top>
      <bottom style="thin">
        <color rgb="FFE7ECF3"/>
      </bottom>
      <diagonal/>
    </border>
    <border diagonalUp="false" diagonalDown="false">
      <left/>
      <right/>
      <top/>
      <bottom style="thin">
        <color rgb="FFEEF2F7"/>
      </bottom>
      <diagonal/>
    </border>
    <border diagonalUp="false" diagonalDown="false">
      <left style="thin">
        <color rgb="FFD9E0EA"/>
      </left>
      <right style="thin">
        <color rgb="FFD9E0EA"/>
      </right>
      <top style="thin">
        <color rgb="FFD9E0EA"/>
      </top>
      <bottom style="thin">
        <color rgb="FFD9E0EA"/>
      </bottom>
      <diagonal/>
    </border>
    <border diagonalUp="false" diagonalDown="false">
      <left/>
      <right/>
      <top style="thin">
        <color rgb="FF33415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1" shrinkToFit="false"/>
      <protection locked="true" hidden="false"/>
    </xf>
    <xf numFmtId="164" fontId="7" fillId="2" borderId="1"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center" textRotation="0" wrapText="false" indent="1" shrinkToFit="false"/>
      <protection locked="true" hidden="false"/>
    </xf>
    <xf numFmtId="167" fontId="10" fillId="2" borderId="1" xfId="0" applyFont="true" applyBorder="true" applyAlignment="true" applyProtection="false">
      <alignment horizontal="general" vertical="center" textRotation="0" wrapText="false" indent="1" shrinkToFit="false"/>
      <protection locked="true" hidden="false"/>
    </xf>
    <xf numFmtId="168" fontId="9" fillId="3" borderId="1" xfId="0" applyFont="true" applyBorder="true" applyAlignment="true" applyProtection="false">
      <alignment horizontal="general" vertical="center" textRotation="0" wrapText="false" indent="1" shrinkToFit="false"/>
      <protection locked="true" hidden="false"/>
    </xf>
    <xf numFmtId="169" fontId="11" fillId="3" borderId="1" xfId="0" applyFont="true" applyBorder="true" applyAlignment="true" applyProtection="false">
      <alignment horizontal="general" vertical="top" textRotation="0" wrapText="false" indent="1" shrinkToFit="false"/>
      <protection locked="true" hidden="false"/>
    </xf>
    <xf numFmtId="170" fontId="12" fillId="2" borderId="1" xfId="0" applyFont="true" applyBorder="true" applyAlignment="true" applyProtection="false">
      <alignment horizontal="general" vertical="top" textRotation="0" wrapText="false" indent="1" shrinkToFit="false"/>
      <protection locked="true" hidden="false"/>
    </xf>
    <xf numFmtId="164" fontId="11" fillId="3" borderId="1" xfId="0" applyFont="true" applyBorder="true" applyAlignment="true" applyProtection="false">
      <alignment horizontal="general" vertical="bottom"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5" fontId="15" fillId="0" borderId="2" xfId="0" applyFont="true" applyBorder="true" applyAlignment="true" applyProtection="false">
      <alignment horizontal="right" vertical="bottom" textRotation="0" wrapText="false" indent="0" shrinkToFit="false"/>
      <protection locked="true" hidden="false"/>
    </xf>
    <xf numFmtId="171" fontId="15" fillId="0" borderId="2" xfId="0" applyFont="true" applyBorder="true" applyAlignment="true" applyProtection="false">
      <alignment horizontal="right" vertical="bottom" textRotation="0" wrapText="false" indent="0" shrinkToFit="false"/>
      <protection locked="true" hidden="false"/>
    </xf>
    <xf numFmtId="172" fontId="15" fillId="0" borderId="2" xfId="0" applyFont="true" applyBorder="true" applyAlignment="true" applyProtection="false">
      <alignment horizontal="right" vertical="bottom" textRotation="0" wrapText="false" indent="0" shrinkToFit="false"/>
      <protection locked="true" hidden="false"/>
    </xf>
    <xf numFmtId="173" fontId="15" fillId="0" borderId="2"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2" borderId="0" xfId="0" applyFont="true" applyBorder="true" applyAlignment="false" applyProtection="false">
      <alignment horizontal="general" vertical="bottom" textRotation="0" wrapText="false" indent="0" shrinkToFit="false"/>
      <protection locked="true" hidden="false"/>
    </xf>
    <xf numFmtId="164" fontId="15" fillId="4" borderId="3" xfId="0" applyFont="true" applyBorder="true" applyAlignment="false" applyProtection="false">
      <alignment horizontal="general" vertical="bottom" textRotation="0" wrapText="false" indent="0" shrinkToFit="false"/>
      <protection locked="true" hidden="false"/>
    </xf>
    <xf numFmtId="164" fontId="15" fillId="4" borderId="3"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23" fillId="0" borderId="3" xfId="0" applyFont="true" applyBorder="true" applyAlignment="false" applyProtection="false">
      <alignment horizontal="general" vertical="bottom" textRotation="0" wrapText="false" indent="0" shrinkToFit="false"/>
      <protection locked="true" hidden="false"/>
    </xf>
    <xf numFmtId="165" fontId="24" fillId="0" borderId="3"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72" fontId="23" fillId="5" borderId="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4" fontId="23" fillId="5" borderId="3" xfId="0" applyFont="true" applyBorder="true" applyAlignment="false" applyProtection="false">
      <alignment horizontal="general" vertical="bottom" textRotation="0" wrapText="false" indent="0" shrinkToFit="false"/>
      <protection locked="true" hidden="false"/>
    </xf>
    <xf numFmtId="175" fontId="23" fillId="5" borderId="3" xfId="0" applyFont="true" applyBorder="true" applyAlignment="false" applyProtection="false">
      <alignment horizontal="general" vertical="bottom" textRotation="0" wrapText="false" indent="0" shrinkToFit="false"/>
      <protection locked="true" hidden="false"/>
    </xf>
    <xf numFmtId="165" fontId="23" fillId="5" borderId="3" xfId="0" applyFont="true" applyBorder="tru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28" fillId="0" borderId="4" xfId="0" applyFont="true" applyBorder="true" applyAlignment="false" applyProtection="false">
      <alignment horizontal="general" vertical="bottom" textRotation="0" wrapText="false" indent="0" shrinkToFit="false"/>
      <protection locked="true" hidden="false"/>
    </xf>
    <xf numFmtId="165" fontId="29" fillId="0"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14" fillId="0" borderId="4" xfId="0" applyFont="true" applyBorder="true" applyAlignment="false" applyProtection="false">
      <alignment horizontal="general" vertical="bottom" textRotation="0" wrapText="false" indent="0" shrinkToFit="false"/>
      <protection locked="true" hidden="false"/>
    </xf>
    <xf numFmtId="165" fontId="15" fillId="0" borderId="4" xfId="0" applyFont="true" applyBorder="tru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72" fontId="15" fillId="0" borderId="4" xfId="0" applyFont="true" applyBorder="true" applyAlignment="false" applyProtection="false">
      <alignment horizontal="general" vertical="bottom" textRotation="0" wrapText="false" indent="0" shrinkToFit="false"/>
      <protection locked="true" hidden="false"/>
    </xf>
    <xf numFmtId="172" fontId="29" fillId="0" borderId="0" xfId="0" applyFont="true" applyBorder="false" applyAlignment="false" applyProtection="false">
      <alignment horizontal="general" vertical="bottom" textRotation="0" wrapText="false" indent="0" shrinkToFit="false"/>
      <protection locked="true" hidden="false"/>
    </xf>
    <xf numFmtId="176" fontId="23" fillId="0" borderId="0" xfId="0" applyFont="true" applyBorder="fals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77" fontId="14" fillId="0" borderId="0" xfId="0"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5" fontId="15" fillId="4" borderId="3" xfId="0" applyFont="true" applyBorder="tru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78" fontId="15" fillId="4" borderId="3" xfId="0" applyFont="true" applyBorder="true" applyAlignment="false" applyProtection="false">
      <alignment horizontal="general" vertical="bottom" textRotation="0" wrapText="false" indent="0" shrinkToFit="false"/>
      <protection locked="true" hidden="false"/>
    </xf>
    <xf numFmtId="171" fontId="15" fillId="4" borderId="3" xfId="0" applyFont="true" applyBorder="true" applyAlignment="false" applyProtection="false">
      <alignment horizontal="general"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72" fontId="15" fillId="4" borderId="3" xfId="0" applyFont="true" applyBorder="true" applyAlignment="true" applyProtection="false">
      <alignment horizontal="center" vertical="bottom" textRotation="0" wrapText="false" indent="0" shrinkToFit="false"/>
      <protection locked="true" hidden="false"/>
    </xf>
    <xf numFmtId="172" fontId="15" fillId="4" borderId="3" xfId="0" applyFont="true" applyBorder="true" applyAlignment="false" applyProtection="false">
      <alignment horizontal="general" vertical="bottom" textRotation="0" wrapText="false" indent="0" shrinkToFit="false"/>
      <protection locked="true" hidden="false"/>
    </xf>
    <xf numFmtId="179" fontId="14" fillId="0"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9FB2CC"/>
      <rgbColor rgb="FF878787"/>
      <rgbColor rgb="FF9999FF"/>
      <rgbColor rgb="FF993366"/>
      <rgbColor rgb="FFFFF7D6"/>
      <rgbColor rgb="FFE7ECF3"/>
      <rgbColor rgb="FF660066"/>
      <rgbColor rgb="FFFF8080"/>
      <rgbColor rgb="FF2B5FB3"/>
      <rgbColor rgb="FFD9D9D9"/>
      <rgbColor rgb="FF000080"/>
      <rgbColor rgb="FFFF00FF"/>
      <rgbColor rgb="FFFFFF00"/>
      <rgbColor rgb="FF00FFFF"/>
      <rgbColor rgb="FF800080"/>
      <rgbColor rgb="FF800000"/>
      <rgbColor rgb="FF008080"/>
      <rgbColor rgb="FF0000FF"/>
      <rgbColor rgb="FF00CCFF"/>
      <rgbColor rgb="FFEEF2F8"/>
      <rgbColor rgb="FFEEF2F7"/>
      <rgbColor rgb="FFF9F9F9"/>
      <rgbColor rgb="FF99CCFF"/>
      <rgbColor rgb="FFFF99CC"/>
      <rgbColor rgb="FFCC99FF"/>
      <rgbColor rgb="FFD9E0EA"/>
      <rgbColor rgb="FF3366FF"/>
      <rgbColor rgb="FF69C7BD"/>
      <rgbColor rgb="FF99CC00"/>
      <rgbColor rgb="FFFFCC00"/>
      <rgbColor rgb="FFFF9900"/>
      <rgbColor rgb="FFFF6600"/>
      <rgbColor rgb="FF6B7892"/>
      <rgbColor rgb="FF969696"/>
      <rgbColor rgb="FF11203A"/>
      <rgbColor rgb="FF1E8E63"/>
      <rgbColor rgb="FF0F1B2D"/>
      <rgbColor rgb="FF333300"/>
      <rgbColor rgb="FF993300"/>
      <rgbColor rgb="FF993366"/>
      <rgbColor rgb="FF333399"/>
      <rgbColor rgb="FF3341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autoTitleDeleted val="1"/>
    <c:plotArea>
      <c:barChart>
        <c:barDir val="col"/>
        <c:grouping val="clustered"/>
        <c:varyColors val="0"/>
        <c:ser>
          <c:idx val="0"/>
          <c:order val="0"/>
          <c:tx>
            <c:strRef>
              <c:f>'Income Statement'!A4</c:f>
              <c:strCache>
                <c:ptCount val="1"/>
                <c:pt idx="0">
                  <c:v>Revenue</c:v>
                </c:pt>
              </c:strCache>
            </c:strRef>
          </c:tx>
          <c:spPr>
            <a:solidFill>
              <a:srgbClr val="2B5FB3"/>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'Income Statement'!$B$3:$I$3</c:f>
              <c:strCache>
                <c:ptCount val="8"/>
                <c:pt idx="0">
                  <c:v>FY2019A</c:v>
                </c:pt>
                <c:pt idx="1">
                  <c:v>FY2020A</c:v>
                </c:pt>
                <c:pt idx="2">
                  <c:v>FY2021A</c:v>
                </c:pt>
                <c:pt idx="3">
                  <c:v>FY2022A</c:v>
                </c:pt>
                <c:pt idx="4">
                  <c:v>FY2023A</c:v>
                </c:pt>
                <c:pt idx="5">
                  <c:v>FY2024E</c:v>
                </c:pt>
                <c:pt idx="6">
                  <c:v>FY2025E</c:v>
                </c:pt>
                <c:pt idx="7">
                  <c:v>FY2026E</c:v>
                </c:pt>
              </c:strCache>
            </c:strRef>
          </c:cat>
          <c:val>
            <c:numRef>
              <c:f>'Income Statement'!$B$4:$I$4</c:f>
              <c:numCache>
                <c:formatCode>#,##0.0;\(#,##0.0\);\-</c:formatCode>
                <c:ptCount val="8"/>
                <c:pt idx="0">
                  <c:v>315.3</c:v>
                </c:pt>
                <c:pt idx="1">
                  <c:v>306.3</c:v>
                </c:pt>
                <c:pt idx="2">
                  <c:v>313.3</c:v>
                </c:pt>
                <c:pt idx="3">
                  <c:v>356.8</c:v>
                </c:pt>
                <c:pt idx="4">
                  <c:v>413.7</c:v>
                </c:pt>
                <c:pt idx="5">
                  <c:v>426.111</c:v>
                </c:pt>
                <c:pt idx="6">
                  <c:v>441.024885</c:v>
                </c:pt>
                <c:pt idx="7">
                  <c:v>458.6658804</c:v>
                </c:pt>
              </c:numCache>
            </c:numRef>
          </c:val>
        </c:ser>
        <c:gapWidth val="150"/>
        <c:overlap val="0"/>
        <c:axId val="23728681"/>
        <c:axId val="91795255"/>
      </c:barChart>
      <c:lineChart>
        <c:grouping val="standard"/>
        <c:varyColors val="0"/>
        <c:ser>
          <c:idx val="1"/>
          <c:order val="1"/>
          <c:tx>
            <c:strRef>
              <c:f>'Income Statement'!A6</c:f>
              <c:strCache>
                <c:ptCount val="1"/>
                <c:pt idx="0">
                  <c:v>Adjusted EBITDA</c:v>
                </c:pt>
              </c:strCache>
            </c:strRef>
          </c:tx>
          <c:spPr>
            <a:solidFill>
              <a:srgbClr val="1F6F6B"/>
            </a:solidFill>
            <a:ln w="21960">
              <a:solidFill>
                <a:srgbClr val="1F6F6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'Income Statement'!$B$3:$I$3</c:f>
              <c:strCache>
                <c:ptCount val="8"/>
                <c:pt idx="0">
                  <c:v>FY2019A</c:v>
                </c:pt>
                <c:pt idx="1">
                  <c:v>FY2020A</c:v>
                </c:pt>
                <c:pt idx="2">
                  <c:v>FY2021A</c:v>
                </c:pt>
                <c:pt idx="3">
                  <c:v>FY2022A</c:v>
                </c:pt>
                <c:pt idx="4">
                  <c:v>FY2023A</c:v>
                </c:pt>
                <c:pt idx="5">
                  <c:v>FY2024E</c:v>
                </c:pt>
                <c:pt idx="6">
                  <c:v>FY2025E</c:v>
                </c:pt>
                <c:pt idx="7">
                  <c:v>FY2026E</c:v>
                </c:pt>
              </c:strCache>
            </c:strRef>
          </c:cat>
          <c:val>
            <c:numRef>
              <c:f>'Income Statement'!$B$6:$I$6</c:f>
              <c:numCache>
                <c:formatCode>#,##0.0;\(#,##0.0\);\-</c:formatCode>
                <c:ptCount val="8"/>
                <c:pt idx="0">
                  <c:v>25.5</c:v>
                </c:pt>
                <c:pt idx="1">
                  <c:v>21</c:v>
                </c:pt>
                <c:pt idx="2">
                  <c:v>26.9</c:v>
                </c:pt>
                <c:pt idx="3">
                  <c:v>28.7</c:v>
                </c:pt>
                <c:pt idx="4">
                  <c:v>31.3</c:v>
                </c:pt>
                <c:pt idx="5">
                  <c:v>32.384436</c:v>
                </c:pt>
                <c:pt idx="6">
                  <c:v>33.51789126</c:v>
                </c:pt>
                <c:pt idx="7">
                  <c:v>34.8586069104</c:v>
                </c:pt>
              </c:numCache>
            </c:numRef>
          </c:val>
          <c:smooth val="1"/>
        </c:ser>
        <c:hiLowLines>
          <c:spPr>
            <a:ln w="0">
              <a:noFill/>
            </a:ln>
          </c:spPr>
        </c:hiLowLines>
        <c:marker val="0"/>
        <c:axId val="14940178"/>
        <c:axId val="37474266"/>
      </c:lineChart>
      <c:catAx>
        <c:axId val="237286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795255"/>
        <c:crosses val="autoZero"/>
        <c:auto val="1"/>
        <c:lblAlgn val="ctr"/>
        <c:lblOffset val="100"/>
        <c:noMultiLvlLbl val="0"/>
      </c:catAx>
      <c:valAx>
        <c:axId val="9179525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Revenue (GBP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728681"/>
        <c:crosses val="autoZero"/>
        <c:crossBetween val="between"/>
      </c:valAx>
      <c:catAx>
        <c:axId val="14940178"/>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474266"/>
        <c:crosses val="autoZero"/>
        <c:auto val="1"/>
        <c:lblAlgn val="ctr"/>
        <c:lblOffset val="100"/>
        <c:noMultiLvlLbl val="0"/>
      </c:catAx>
      <c:valAx>
        <c:axId val="37474266"/>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EBITDA (GBP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940178"/>
        <c:crosses val="max"/>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autoTitleDeleted val="1"/>
    <c:plotArea>
      <c:barChart>
        <c:barDir val="col"/>
        <c:grouping val="clustered"/>
        <c:varyColors val="0"/>
        <c:ser>
          <c:idx val="0"/>
          <c:order val="0"/>
          <c:spPr>
            <a:solidFill>
              <a:srgbClr val="1F6F6B"/>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Dashboard!$Y$5:$Y$9</c:f>
              <c:strCache>
                <c:ptCount val="5"/>
                <c:pt idx="0">
                  <c:v>PV explicit FCF</c:v>
                </c:pt>
                <c:pt idx="1">
                  <c:v>PV terminal value</c:v>
                </c:pt>
                <c:pt idx="2">
                  <c:v>Enterprise value</c:v>
                </c:pt>
                <c:pt idx="3">
                  <c:v>Less net debt</c:v>
                </c:pt>
                <c:pt idx="4">
                  <c:v>Equity value</c:v>
                </c:pt>
              </c:strCache>
            </c:strRef>
          </c:cat>
          <c:val>
            <c:numRef>
              <c:f>Dashboard!$Z$5:$Z$9</c:f>
              <c:numCache>
                <c:formatCode>#,##0.0;\(#,##0.0\);\-</c:formatCode>
                <c:ptCount val="5"/>
                <c:pt idx="0">
                  <c:v>38.8740096120484</c:v>
                </c:pt>
                <c:pt idx="1">
                  <c:v>194.82221041559</c:v>
                </c:pt>
                <c:pt idx="2">
                  <c:v>233.696220027638</c:v>
                </c:pt>
                <c:pt idx="3">
                  <c:v>-21.4</c:v>
                </c:pt>
                <c:pt idx="4">
                  <c:v>212.296220027638</c:v>
                </c:pt>
              </c:numCache>
            </c:numRef>
          </c:val>
        </c:ser>
        <c:gapWidth val="150"/>
        <c:overlap val="0"/>
        <c:axId val="64963929"/>
        <c:axId val="76076925"/>
      </c:barChart>
      <c:catAx>
        <c:axId val="649639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076925"/>
        <c:crosses val="autoZero"/>
        <c:auto val="1"/>
        <c:lblAlgn val="ctr"/>
        <c:lblOffset val="100"/>
        <c:noMultiLvlLbl val="0"/>
      </c:catAx>
      <c:valAx>
        <c:axId val="7607692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GBP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496392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8</xdr:col>
      <xdr:colOff>321480</xdr:colOff>
      <xdr:row>23</xdr:row>
      <xdr:rowOff>68760</xdr:rowOff>
    </xdr:to>
    <xdr:graphicFrame>
      <xdr:nvGraphicFramePr>
        <xdr:cNvPr id="1" name="Chart 1"/>
        <xdr:cNvGraphicFramePr/>
      </xdr:nvGraphicFramePr>
      <xdr:xfrm>
        <a:off x="648360" y="2038320"/>
        <a:ext cx="485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9</xdr:row>
      <xdr:rowOff>0</xdr:rowOff>
    </xdr:from>
    <xdr:to>
      <xdr:col>15</xdr:col>
      <xdr:colOff>429480</xdr:colOff>
      <xdr:row>23</xdr:row>
      <xdr:rowOff>68760</xdr:rowOff>
    </xdr:to>
    <xdr:graphicFrame>
      <xdr:nvGraphicFramePr>
        <xdr:cNvPr id="2" name="Chart 2"/>
        <xdr:cNvGraphicFramePr/>
      </xdr:nvGraphicFramePr>
      <xdr:xfrm>
        <a:off x="5834880" y="2038320"/>
        <a:ext cx="431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Z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7" min="1" style="0" width="9.2"/>
  </cols>
  <sheetData>
    <row r="2" customFormat="false" ht="30" hidden="false" customHeight="true" outlineLevel="0" collapsed="false">
      <c r="B2" s="1" t="s">
        <v>0</v>
      </c>
      <c r="C2" s="1"/>
      <c r="D2" s="1"/>
      <c r="E2" s="1"/>
      <c r="F2" s="1"/>
      <c r="G2" s="1"/>
      <c r="H2" s="1"/>
      <c r="I2" s="1"/>
      <c r="J2" s="1"/>
      <c r="K2" s="1"/>
      <c r="L2" s="1"/>
      <c r="M2" s="1"/>
      <c r="N2" s="1"/>
      <c r="O2" s="1"/>
      <c r="P2" s="1"/>
      <c r="Q2" s="1"/>
    </row>
    <row r="3" customFormat="false" ht="15" hidden="false" customHeight="false" outlineLevel="0" collapsed="false">
      <c r="B3" s="2" t="s">
        <v>1</v>
      </c>
      <c r="C3" s="2"/>
      <c r="D3" s="2"/>
      <c r="E3" s="2"/>
      <c r="F3" s="2"/>
      <c r="G3" s="2"/>
      <c r="H3" s="2"/>
      <c r="I3" s="2"/>
      <c r="J3" s="2"/>
      <c r="K3" s="2"/>
      <c r="L3" s="2"/>
      <c r="M3" s="2"/>
      <c r="N3" s="2"/>
      <c r="O3" s="2"/>
      <c r="P3" s="2"/>
      <c r="Q3" s="2"/>
    </row>
    <row r="5" customFormat="false" ht="15" hidden="false" customHeight="false" outlineLevel="0" collapsed="false">
      <c r="B5" s="3" t="s">
        <v>2</v>
      </c>
      <c r="C5" s="3"/>
      <c r="D5" s="3"/>
      <c r="F5" s="3" t="s">
        <v>3</v>
      </c>
      <c r="G5" s="3"/>
      <c r="H5" s="3"/>
      <c r="J5" s="4" t="s">
        <v>4</v>
      </c>
      <c r="K5" s="4"/>
      <c r="L5" s="4"/>
      <c r="N5" s="3" t="s">
        <v>5</v>
      </c>
      <c r="O5" s="3"/>
      <c r="P5" s="3"/>
      <c r="Y5" s="5" t="s">
        <v>6</v>
      </c>
      <c r="Z5" s="6" t="n">
        <f aca="false">SUM('DCF Valuation'!B18:D18)</f>
        <v>38.8740096120484</v>
      </c>
    </row>
    <row r="6" customFormat="false" ht="25.5" hidden="false" customHeight="true" outlineLevel="0" collapsed="false">
      <c r="B6" s="7" t="n">
        <f aca="false">'Income Statement'!F4</f>
        <v>413.7</v>
      </c>
      <c r="C6" s="7"/>
      <c r="D6" s="7"/>
      <c r="F6" s="7" t="n">
        <f aca="false">'Income Statement'!F6</f>
        <v>31.3</v>
      </c>
      <c r="G6" s="7"/>
      <c r="H6" s="7"/>
      <c r="J6" s="8" t="n">
        <f aca="false">'DCF Valuation'!B27</f>
        <v>162.430160694444</v>
      </c>
      <c r="K6" s="8"/>
      <c r="L6" s="8"/>
      <c r="N6" s="9" t="n">
        <f aca="false">'DCF Valuation'!E24</f>
        <v>0.476637824494945</v>
      </c>
      <c r="O6" s="9"/>
      <c r="P6" s="9"/>
      <c r="Y6" s="5" t="s">
        <v>7</v>
      </c>
      <c r="Z6" s="6" t="n">
        <f aca="false">'DCF Valuation'!E18</f>
        <v>194.82221041559</v>
      </c>
    </row>
    <row r="7" customFormat="false" ht="15" hidden="false" customHeight="false" outlineLevel="0" collapsed="false">
      <c r="B7" s="10" t="n">
        <f aca="false">'Income Statement'!F5</f>
        <v>0.159473094170403</v>
      </c>
      <c r="C7" s="10"/>
      <c r="D7" s="10"/>
      <c r="F7" s="10" t="n">
        <f aca="false">'Income Statement'!F6/'Income Statement'!E6-1</f>
        <v>0.0905923344947737</v>
      </c>
      <c r="G7" s="10"/>
      <c r="H7" s="10"/>
      <c r="J7" s="11" t="n">
        <f aca="false">'DCF Valuation'!B28</f>
        <v>7.46633290823126</v>
      </c>
      <c r="K7" s="11"/>
      <c r="L7" s="11"/>
      <c r="N7" s="12" t="s">
        <v>8</v>
      </c>
      <c r="O7" s="12"/>
      <c r="P7" s="12"/>
      <c r="Y7" s="5" t="s">
        <v>9</v>
      </c>
      <c r="Z7" s="6" t="n">
        <f aca="false">'DCF Valuation'!B22</f>
        <v>233.696220027638</v>
      </c>
    </row>
    <row r="8" customFormat="false" ht="15" hidden="false" customHeight="false" outlineLevel="0" collapsed="false">
      <c r="Y8" s="5" t="s">
        <v>10</v>
      </c>
      <c r="Z8" s="6" t="n">
        <f aca="false">'DCF Valuation'!B23</f>
        <v>-21.4</v>
      </c>
    </row>
    <row r="9" customFormat="false" ht="15" hidden="false" customHeight="false" outlineLevel="0" collapsed="false">
      <c r="B9" s="13" t="s">
        <v>11</v>
      </c>
      <c r="J9" s="13" t="s">
        <v>12</v>
      </c>
      <c r="Y9" s="5" t="s">
        <v>13</v>
      </c>
      <c r="Z9" s="6" t="n">
        <f aca="false">'DCF Valuation'!B24</f>
        <v>212.296220027638</v>
      </c>
    </row>
    <row r="27" customFormat="false" ht="15" hidden="false" customHeight="false" outlineLevel="0" collapsed="false">
      <c r="B27" s="13" t="s">
        <v>14</v>
      </c>
    </row>
    <row r="28" customFormat="false" ht="15" hidden="false" customHeight="false" outlineLevel="0" collapsed="false">
      <c r="B28" s="14" t="s">
        <v>15</v>
      </c>
      <c r="C28" s="14"/>
      <c r="D28" s="14"/>
      <c r="E28" s="14"/>
      <c r="F28" s="14"/>
      <c r="G28" s="15" t="n">
        <f aca="false">'DCF Valuation'!B22</f>
        <v>233.696220027638</v>
      </c>
      <c r="H28" s="15"/>
    </row>
    <row r="29" customFormat="false" ht="15" hidden="false" customHeight="false" outlineLevel="0" collapsed="false">
      <c r="B29" s="14" t="s">
        <v>16</v>
      </c>
      <c r="C29" s="14"/>
      <c r="D29" s="14"/>
      <c r="E29" s="14"/>
      <c r="F29" s="14"/>
      <c r="G29" s="15" t="n">
        <f aca="false">'DCF Valuation'!B23</f>
        <v>-21.4</v>
      </c>
      <c r="H29" s="15"/>
    </row>
    <row r="30" customFormat="false" ht="15" hidden="false" customHeight="false" outlineLevel="0" collapsed="false">
      <c r="B30" s="14" t="s">
        <v>17</v>
      </c>
      <c r="C30" s="14"/>
      <c r="D30" s="14"/>
      <c r="E30" s="14"/>
      <c r="F30" s="14"/>
      <c r="G30" s="15" t="n">
        <f aca="false">'DCF Valuation'!B24</f>
        <v>212.296220027638</v>
      </c>
      <c r="H30" s="15"/>
    </row>
    <row r="31" customFormat="false" ht="15" hidden="false" customHeight="false" outlineLevel="0" collapsed="false">
      <c r="B31" s="14" t="s">
        <v>18</v>
      </c>
      <c r="C31" s="14"/>
      <c r="D31" s="14"/>
      <c r="E31" s="14"/>
      <c r="F31" s="14"/>
      <c r="G31" s="16" t="n">
        <f aca="false">'DCF Valuation'!B27</f>
        <v>162.430160694444</v>
      </c>
      <c r="H31" s="16"/>
    </row>
    <row r="32" customFormat="false" ht="15" hidden="false" customHeight="false" outlineLevel="0" collapsed="false">
      <c r="B32" s="14" t="s">
        <v>19</v>
      </c>
      <c r="C32" s="14"/>
      <c r="D32" s="14"/>
      <c r="E32" s="14"/>
      <c r="F32" s="14"/>
      <c r="G32" s="17" t="n">
        <f aca="false">'DCF Valuation'!B10</f>
        <v>0.08476</v>
      </c>
      <c r="H32" s="17"/>
    </row>
    <row r="33" customFormat="false" ht="15" hidden="false" customHeight="false" outlineLevel="0" collapsed="false">
      <c r="B33" s="14" t="s">
        <v>20</v>
      </c>
      <c r="C33" s="14"/>
      <c r="D33" s="14"/>
      <c r="E33" s="14"/>
      <c r="F33" s="14"/>
      <c r="G33" s="17" t="n">
        <f aca="false">Assumptions!B21</f>
        <v>0.02</v>
      </c>
      <c r="H33" s="17"/>
    </row>
    <row r="34" customFormat="false" ht="15" hidden="false" customHeight="false" outlineLevel="0" collapsed="false">
      <c r="B34" s="14" t="s">
        <v>21</v>
      </c>
      <c r="C34" s="14"/>
      <c r="D34" s="14"/>
      <c r="E34" s="14"/>
      <c r="F34" s="14"/>
      <c r="G34" s="18" t="n">
        <f aca="false">'DCF Valuation'!B28</f>
        <v>7.46633290823126</v>
      </c>
      <c r="H34" s="18"/>
    </row>
    <row r="35" customFormat="false" ht="15" hidden="false" customHeight="false" outlineLevel="0" collapsed="false">
      <c r="B35" s="14" t="s">
        <v>22</v>
      </c>
      <c r="C35" s="14"/>
      <c r="D35" s="14"/>
      <c r="E35" s="14"/>
      <c r="F35" s="14"/>
      <c r="G35" s="16" t="n">
        <f aca="false">'DCF Valuation'!E21</f>
        <v>110</v>
      </c>
      <c r="H35" s="16"/>
    </row>
    <row r="36" customFormat="false" ht="15" hidden="false" customHeight="false" outlineLevel="0" collapsed="false">
      <c r="B36" s="14" t="s">
        <v>23</v>
      </c>
      <c r="C36" s="14"/>
      <c r="D36" s="14"/>
      <c r="E36" s="14"/>
      <c r="F36" s="14"/>
      <c r="G36" s="17" t="n">
        <f aca="false">'DCF Valuation'!E24</f>
        <v>0.476637824494945</v>
      </c>
      <c r="H36" s="17"/>
    </row>
    <row r="38" customFormat="false" ht="15" hidden="false" customHeight="false" outlineLevel="0" collapsed="false">
      <c r="B38" s="5" t="s">
        <v>24</v>
      </c>
    </row>
  </sheetData>
  <mergeCells count="32">
    <mergeCell ref="B2:Q2"/>
    <mergeCell ref="B3:Q3"/>
    <mergeCell ref="B5:D5"/>
    <mergeCell ref="F5:H5"/>
    <mergeCell ref="J5:L5"/>
    <mergeCell ref="N5:P5"/>
    <mergeCell ref="B6:D6"/>
    <mergeCell ref="F6:H6"/>
    <mergeCell ref="J6:L6"/>
    <mergeCell ref="N6:P6"/>
    <mergeCell ref="B7:D7"/>
    <mergeCell ref="F7:H7"/>
    <mergeCell ref="J7:L7"/>
    <mergeCell ref="N7:P7"/>
    <mergeCell ref="B28:F28"/>
    <mergeCell ref="G28:H28"/>
    <mergeCell ref="B29:F29"/>
    <mergeCell ref="G29:H29"/>
    <mergeCell ref="B30:F30"/>
    <mergeCell ref="G30:H30"/>
    <mergeCell ref="B31:F31"/>
    <mergeCell ref="G31:H31"/>
    <mergeCell ref="B32:F32"/>
    <mergeCell ref="G32:H32"/>
    <mergeCell ref="B33:F33"/>
    <mergeCell ref="G33:H33"/>
    <mergeCell ref="B34:F34"/>
    <mergeCell ref="G34:H34"/>
    <mergeCell ref="B35:F35"/>
    <mergeCell ref="G35:H35"/>
    <mergeCell ref="B36:F36"/>
    <mergeCell ref="G36:H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0"/>
  </cols>
  <sheetData>
    <row r="2" customFormat="false" ht="22.05" hidden="false" customHeight="false" outlineLevel="0" collapsed="false">
      <c r="B2" s="19" t="s">
        <v>25</v>
      </c>
    </row>
    <row r="3" customFormat="false" ht="15" hidden="false" customHeight="false" outlineLevel="0" collapsed="false">
      <c r="B3" s="20" t="s">
        <v>26</v>
      </c>
    </row>
    <row r="4" customFormat="false" ht="15" hidden="false" customHeight="false" outlineLevel="0" collapsed="false">
      <c r="B4" s="5" t="s">
        <v>27</v>
      </c>
    </row>
    <row r="7" customFormat="false" ht="15" hidden="false" customHeight="false" outlineLevel="0" collapsed="false">
      <c r="B7" s="21" t="s">
        <v>28</v>
      </c>
    </row>
    <row r="8" customFormat="false" ht="42" hidden="false" customHeight="true" outlineLevel="0" collapsed="false">
      <c r="B8" s="22" t="s">
        <v>29</v>
      </c>
    </row>
    <row r="11" customFormat="false" ht="15" hidden="false" customHeight="false" outlineLevel="0" collapsed="false">
      <c r="B11" s="21" t="s">
        <v>30</v>
      </c>
    </row>
    <row r="12" customFormat="false" ht="13.5" hidden="false" customHeight="true" outlineLevel="0" collapsed="false">
      <c r="B12" s="22" t="s">
        <v>31</v>
      </c>
    </row>
    <row r="14" customFormat="false" ht="15" hidden="false" customHeight="false" outlineLevel="0" collapsed="false">
      <c r="B14" s="21" t="s">
        <v>32</v>
      </c>
    </row>
    <row r="15" customFormat="false" ht="42" hidden="false" customHeight="true" outlineLevel="0" collapsed="false">
      <c r="B15" s="22" t="s">
        <v>33</v>
      </c>
    </row>
    <row r="17" customFormat="false" ht="15" hidden="false" customHeight="false" outlineLevel="0" collapsed="false">
      <c r="B17" s="21" t="s">
        <v>34</v>
      </c>
    </row>
    <row r="18" customFormat="false" ht="42" hidden="false" customHeight="true" outlineLevel="0" collapsed="false">
      <c r="B18" s="22" t="s">
        <v>35</v>
      </c>
    </row>
    <row r="20" customFormat="false" ht="15" hidden="false" customHeight="false" outlineLevel="0" collapsed="false">
      <c r="B20" s="21" t="s">
        <v>36</v>
      </c>
    </row>
    <row r="21" customFormat="false" ht="42" hidden="false" customHeight="true" outlineLevel="0" collapsed="false">
      <c r="B21" s="22" t="s">
        <v>37</v>
      </c>
    </row>
    <row r="24" customFormat="false" ht="15" hidden="false" customHeight="false" outlineLevel="0" collapsed="false">
      <c r="B24" s="21" t="s">
        <v>38</v>
      </c>
    </row>
    <row r="25" customFormat="false" ht="42" hidden="false" customHeight="true" outlineLevel="0" collapsed="false">
      <c r="B25" s="22" t="s">
        <v>39</v>
      </c>
    </row>
    <row r="28" customFormat="false" ht="15" hidden="false" customHeight="false" outlineLevel="0" collapsed="false">
      <c r="B28" s="21" t="s">
        <v>40</v>
      </c>
    </row>
    <row r="29" customFormat="false" ht="42" hidden="false" customHeight="true" outlineLevel="0" collapsed="false">
      <c r="B29" s="22" t="s">
        <v>41</v>
      </c>
    </row>
    <row r="32" customFormat="false" ht="15" hidden="false" customHeight="false" outlineLevel="0" collapsed="false">
      <c r="B32" s="21" t="s">
        <v>42</v>
      </c>
    </row>
    <row r="33" customFormat="false" ht="42" hidden="false" customHeight="true" outlineLevel="0" collapsed="false">
      <c r="B33" s="22" t="s">
        <v>43</v>
      </c>
    </row>
    <row r="36" customFormat="false" ht="15" hidden="false" customHeight="false" outlineLevel="0" collapsed="false">
      <c r="B36" s="21" t="s">
        <v>44</v>
      </c>
    </row>
    <row r="37" customFormat="false" ht="27.75" hidden="false" customHeight="true" outlineLevel="0" collapsed="false">
      <c r="B37" s="2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9" min="2" style="0" width="11"/>
    <col collapsed="false" customWidth="true" hidden="false" outlineLevel="0" max="11" min="11" style="0" width="60"/>
  </cols>
  <sheetData>
    <row r="1" customFormat="false" ht="17.35" hidden="false" customHeight="false" outlineLevel="0" collapsed="false">
      <c r="A1" s="23" t="s">
        <v>46</v>
      </c>
      <c r="B1" s="23"/>
      <c r="C1" s="23"/>
      <c r="D1" s="23"/>
      <c r="E1" s="23"/>
      <c r="F1" s="23"/>
      <c r="G1" s="23"/>
      <c r="H1" s="23"/>
      <c r="I1" s="23"/>
    </row>
    <row r="2" customFormat="false" ht="15" hidden="false" customHeight="false" outlineLevel="0" collapsed="false">
      <c r="A2" s="5" t="s">
        <v>47</v>
      </c>
    </row>
    <row r="3" customFormat="false" ht="15" hidden="false" customHeight="false" outlineLevel="0" collapsed="false">
      <c r="A3" s="24" t="s">
        <v>48</v>
      </c>
      <c r="B3" s="25" t="s">
        <v>49</v>
      </c>
      <c r="C3" s="25" t="s">
        <v>50</v>
      </c>
      <c r="D3" s="25" t="s">
        <v>51</v>
      </c>
      <c r="E3" s="25" t="s">
        <v>52</v>
      </c>
      <c r="F3" s="25" t="s">
        <v>53</v>
      </c>
      <c r="G3" s="25" t="s">
        <v>54</v>
      </c>
      <c r="H3" s="25" t="s">
        <v>55</v>
      </c>
      <c r="I3" s="25" t="s">
        <v>56</v>
      </c>
    </row>
    <row r="4" customFormat="false" ht="15" hidden="false" customHeight="false" outlineLevel="0" collapsed="false">
      <c r="A4" s="26" t="s">
        <v>57</v>
      </c>
      <c r="B4" s="27" t="n">
        <v>315.3</v>
      </c>
      <c r="C4" s="27" t="n">
        <v>306.3</v>
      </c>
      <c r="D4" s="27" t="n">
        <v>313.3</v>
      </c>
      <c r="E4" s="27" t="n">
        <v>356.8</v>
      </c>
      <c r="F4" s="27" t="n">
        <v>413.7</v>
      </c>
    </row>
    <row r="5" customFormat="false" ht="15" hidden="false" customHeight="false" outlineLevel="0" collapsed="false">
      <c r="A5" s="26" t="s">
        <v>58</v>
      </c>
      <c r="B5" s="27" t="n">
        <v>25.5</v>
      </c>
      <c r="C5" s="28" t="n">
        <v>21</v>
      </c>
      <c r="D5" s="27" t="n">
        <v>26.9</v>
      </c>
      <c r="E5" s="27" t="n">
        <v>28.7</v>
      </c>
      <c r="F5" s="27" t="n">
        <v>31.3</v>
      </c>
    </row>
    <row r="6" customFormat="false" ht="15" hidden="false" customHeight="false" outlineLevel="0" collapsed="false">
      <c r="A6" s="29" t="s">
        <v>59</v>
      </c>
      <c r="C6" s="30" t="n">
        <f aca="false">C4/B4-1</f>
        <v>-0.0285442435775451</v>
      </c>
      <c r="D6" s="30" t="n">
        <f aca="false">D4/C4-1</f>
        <v>0.0228534116878878</v>
      </c>
      <c r="E6" s="30" t="n">
        <f aca="false">E4/D4-1</f>
        <v>0.138844557931695</v>
      </c>
      <c r="F6" s="30" t="n">
        <f aca="false">F4/E4-1</f>
        <v>0.159473094170403</v>
      </c>
      <c r="G6" s="31" t="n">
        <v>0.03</v>
      </c>
      <c r="H6" s="31" t="n">
        <v>0.035</v>
      </c>
      <c r="I6" s="31" t="n">
        <v>0.04</v>
      </c>
    </row>
    <row r="7" customFormat="false" ht="15" hidden="false" customHeight="false" outlineLevel="0" collapsed="false">
      <c r="A7" s="29" t="s">
        <v>60</v>
      </c>
      <c r="B7" s="30" t="n">
        <f aca="false">B5/B4</f>
        <v>0.0808753568030447</v>
      </c>
      <c r="C7" s="30" t="n">
        <f aca="false">C5/C4</f>
        <v>0.0685602350636631</v>
      </c>
      <c r="D7" s="30" t="n">
        <f aca="false">D5/D4</f>
        <v>0.0858601978933929</v>
      </c>
      <c r="E7" s="30" t="n">
        <f aca="false">E5/E4</f>
        <v>0.0804372197309417</v>
      </c>
      <c r="F7" s="30" t="n">
        <f aca="false">F5/F4</f>
        <v>0.0756586898718878</v>
      </c>
      <c r="G7" s="31" t="n">
        <v>0.076</v>
      </c>
      <c r="H7" s="31" t="n">
        <v>0.076</v>
      </c>
      <c r="I7" s="31" t="n">
        <v>0.076</v>
      </c>
    </row>
    <row r="8" customFormat="false" ht="15" hidden="false" customHeight="false" outlineLevel="0" collapsed="false">
      <c r="A8" s="29" t="s">
        <v>61</v>
      </c>
      <c r="B8" s="31" t="n">
        <v>0.026</v>
      </c>
      <c r="C8" s="30" t="n">
        <f aca="false">$B$8</f>
        <v>0.026</v>
      </c>
      <c r="D8" s="30" t="n">
        <f aca="false">$B$8</f>
        <v>0.026</v>
      </c>
      <c r="E8" s="30" t="n">
        <f aca="false">$B$8</f>
        <v>0.026</v>
      </c>
      <c r="F8" s="30" t="n">
        <f aca="false">$B$8</f>
        <v>0.026</v>
      </c>
      <c r="G8" s="30" t="n">
        <f aca="false">$B$8</f>
        <v>0.026</v>
      </c>
      <c r="H8" s="30" t="n">
        <f aca="false">$B$8</f>
        <v>0.026</v>
      </c>
      <c r="I8" s="30" t="n">
        <f aca="false">$B$8</f>
        <v>0.026</v>
      </c>
      <c r="K8" s="5" t="s">
        <v>62</v>
      </c>
    </row>
    <row r="9" customFormat="false" ht="15" hidden="false" customHeight="false" outlineLevel="0" collapsed="false">
      <c r="A9" s="29" t="s">
        <v>63</v>
      </c>
      <c r="B9" s="31" t="n">
        <v>0.03</v>
      </c>
      <c r="C9" s="30" t="n">
        <f aca="false">$B$9</f>
        <v>0.03</v>
      </c>
      <c r="D9" s="30" t="n">
        <f aca="false">$B$9</f>
        <v>0.03</v>
      </c>
      <c r="E9" s="30" t="n">
        <f aca="false">$B$9</f>
        <v>0.03</v>
      </c>
      <c r="F9" s="30" t="n">
        <f aca="false">$B$9</f>
        <v>0.03</v>
      </c>
      <c r="G9" s="30" t="n">
        <f aca="false">$B$9</f>
        <v>0.03</v>
      </c>
      <c r="H9" s="30" t="n">
        <f aca="false">$B$9</f>
        <v>0.03</v>
      </c>
      <c r="I9" s="30" t="n">
        <f aca="false">$B$9</f>
        <v>0.03</v>
      </c>
      <c r="K9" s="5" t="s">
        <v>64</v>
      </c>
    </row>
    <row r="10" customFormat="false" ht="15" hidden="false" customHeight="false" outlineLevel="0" collapsed="false">
      <c r="A10" s="29" t="s">
        <v>65</v>
      </c>
      <c r="B10" s="31" t="n">
        <v>0.015</v>
      </c>
      <c r="C10" s="30" t="n">
        <f aca="false">$B$10</f>
        <v>0.015</v>
      </c>
      <c r="D10" s="30" t="n">
        <f aca="false">$B$10</f>
        <v>0.015</v>
      </c>
      <c r="E10" s="30" t="n">
        <f aca="false">$B$10</f>
        <v>0.015</v>
      </c>
      <c r="F10" s="30" t="n">
        <f aca="false">$B$10</f>
        <v>0.015</v>
      </c>
      <c r="G10" s="30" t="n">
        <f aca="false">$B$10</f>
        <v>0.015</v>
      </c>
      <c r="H10" s="30" t="n">
        <f aca="false">$B$10</f>
        <v>0.015</v>
      </c>
      <c r="I10" s="30" t="n">
        <f aca="false">$B$10</f>
        <v>0.015</v>
      </c>
      <c r="K10" s="5" t="s">
        <v>66</v>
      </c>
    </row>
    <row r="11" customFormat="false" ht="15" hidden="false" customHeight="false" outlineLevel="0" collapsed="false">
      <c r="A11" s="29" t="s">
        <v>67</v>
      </c>
      <c r="B11" s="31" t="n">
        <v>0.06</v>
      </c>
      <c r="C11" s="30" t="n">
        <f aca="false">$B$11</f>
        <v>0.06</v>
      </c>
      <c r="D11" s="30" t="n">
        <f aca="false">$B$11</f>
        <v>0.06</v>
      </c>
      <c r="E11" s="30" t="n">
        <f aca="false">$B$11</f>
        <v>0.06</v>
      </c>
      <c r="F11" s="30" t="n">
        <f aca="false">$B$11</f>
        <v>0.06</v>
      </c>
      <c r="G11" s="30" t="n">
        <f aca="false">$B$11</f>
        <v>0.06</v>
      </c>
      <c r="H11" s="30" t="n">
        <f aca="false">$B$11</f>
        <v>0.06</v>
      </c>
      <c r="I11" s="30" t="n">
        <f aca="false">$B$11</f>
        <v>0.06</v>
      </c>
      <c r="K11" s="5" t="s">
        <v>68</v>
      </c>
    </row>
    <row r="12" customFormat="false" ht="15" hidden="false" customHeight="false" outlineLevel="0" collapsed="false">
      <c r="A12" s="29" t="s">
        <v>69</v>
      </c>
      <c r="B12" s="31" t="n">
        <v>0.22</v>
      </c>
      <c r="C12" s="30" t="n">
        <f aca="false">$B$12</f>
        <v>0.22</v>
      </c>
      <c r="D12" s="30" t="n">
        <f aca="false">$B$12</f>
        <v>0.22</v>
      </c>
      <c r="E12" s="30" t="n">
        <f aca="false">$B$12</f>
        <v>0.22</v>
      </c>
      <c r="F12" s="30" t="n">
        <f aca="false">$B$12</f>
        <v>0.22</v>
      </c>
      <c r="G12" s="30" t="n">
        <f aca="false">$B$12</f>
        <v>0.22</v>
      </c>
      <c r="H12" s="30" t="n">
        <f aca="false">$B$12</f>
        <v>0.22</v>
      </c>
      <c r="I12" s="30" t="n">
        <f aca="false">$B$12</f>
        <v>0.22</v>
      </c>
      <c r="K12" s="5" t="s">
        <v>70</v>
      </c>
    </row>
    <row r="13" customFormat="false" ht="15" hidden="false" customHeight="false" outlineLevel="0" collapsed="false">
      <c r="A13" s="29" t="s">
        <v>71</v>
      </c>
      <c r="B13" s="31" t="n">
        <v>0.3</v>
      </c>
      <c r="C13" s="30" t="n">
        <f aca="false">$B$13</f>
        <v>0.3</v>
      </c>
      <c r="D13" s="30" t="n">
        <f aca="false">$B$13</f>
        <v>0.3</v>
      </c>
      <c r="E13" s="30" t="n">
        <f aca="false">$B$13</f>
        <v>0.3</v>
      </c>
      <c r="F13" s="30" t="n">
        <f aca="false">$B$13</f>
        <v>0.3</v>
      </c>
      <c r="G13" s="30" t="n">
        <f aca="false">$B$13</f>
        <v>0.3</v>
      </c>
      <c r="H13" s="30" t="n">
        <f aca="false">$B$13</f>
        <v>0.3</v>
      </c>
      <c r="I13" s="30" t="n">
        <f aca="false">$B$13</f>
        <v>0.3</v>
      </c>
      <c r="K13" s="5" t="s">
        <v>72</v>
      </c>
    </row>
    <row r="15" customFormat="false" ht="15" hidden="false" customHeight="false" outlineLevel="0" collapsed="false">
      <c r="A15" s="32" t="s">
        <v>73</v>
      </c>
    </row>
    <row r="16" customFormat="false" ht="15" hidden="false" customHeight="false" outlineLevel="0" collapsed="false">
      <c r="A16" s="29" t="s">
        <v>74</v>
      </c>
      <c r="B16" s="31" t="n">
        <v>0.042</v>
      </c>
      <c r="K16" s="5" t="s">
        <v>75</v>
      </c>
    </row>
    <row r="17" customFormat="false" ht="15" hidden="false" customHeight="false" outlineLevel="0" collapsed="false">
      <c r="A17" s="29" t="s">
        <v>76</v>
      </c>
      <c r="B17" s="31" t="n">
        <v>0.055</v>
      </c>
      <c r="K17" s="5" t="s">
        <v>77</v>
      </c>
    </row>
    <row r="18" customFormat="false" ht="15" hidden="false" customHeight="false" outlineLevel="0" collapsed="false">
      <c r="A18" s="29" t="s">
        <v>78</v>
      </c>
      <c r="B18" s="33" t="n">
        <v>0.95</v>
      </c>
      <c r="K18" s="5" t="s">
        <v>79</v>
      </c>
    </row>
    <row r="19" customFormat="false" ht="15" hidden="false" customHeight="false" outlineLevel="0" collapsed="false">
      <c r="A19" s="29" t="s">
        <v>80</v>
      </c>
      <c r="B19" s="31" t="n">
        <v>0.06</v>
      </c>
      <c r="K19" s="5" t="s">
        <v>81</v>
      </c>
    </row>
    <row r="20" customFormat="false" ht="15" hidden="false" customHeight="false" outlineLevel="0" collapsed="false">
      <c r="A20" s="29" t="s">
        <v>82</v>
      </c>
      <c r="B20" s="31" t="n">
        <v>0.2</v>
      </c>
      <c r="K20" s="5" t="s">
        <v>83</v>
      </c>
    </row>
    <row r="21" customFormat="false" ht="15" hidden="false" customHeight="false" outlineLevel="0" collapsed="false">
      <c r="A21" s="29" t="s">
        <v>84</v>
      </c>
      <c r="B21" s="31" t="n">
        <v>0.02</v>
      </c>
      <c r="K21" s="5" t="s">
        <v>85</v>
      </c>
    </row>
    <row r="22" customFormat="false" ht="15" hidden="false" customHeight="false" outlineLevel="0" collapsed="false">
      <c r="A22" s="29" t="s">
        <v>86</v>
      </c>
      <c r="B22" s="34" t="n">
        <v>130.7</v>
      </c>
      <c r="K22" s="5" t="s">
        <v>87</v>
      </c>
    </row>
    <row r="23" customFormat="false" ht="15" hidden="false" customHeight="false" outlineLevel="0" collapsed="false">
      <c r="A23" s="29" t="s">
        <v>88</v>
      </c>
      <c r="B23" s="35" t="n">
        <v>21.4</v>
      </c>
      <c r="K23" s="5" t="s">
        <v>89</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9" min="2" style="0" width="11"/>
  </cols>
  <sheetData>
    <row r="1" customFormat="false" ht="17.35" hidden="false" customHeight="false" outlineLevel="0" collapsed="false">
      <c r="A1" s="23" t="s">
        <v>90</v>
      </c>
      <c r="B1" s="23"/>
      <c r="C1" s="23"/>
      <c r="D1" s="23"/>
      <c r="E1" s="23"/>
      <c r="F1" s="23"/>
      <c r="G1" s="23"/>
      <c r="H1" s="23"/>
      <c r="I1" s="23"/>
    </row>
    <row r="3" customFormat="false" ht="15" hidden="false" customHeight="false" outlineLevel="0" collapsed="false">
      <c r="A3" s="24" t="s">
        <v>48</v>
      </c>
      <c r="B3" s="25" t="s">
        <v>49</v>
      </c>
      <c r="C3" s="25" t="s">
        <v>50</v>
      </c>
      <c r="D3" s="25" t="s">
        <v>51</v>
      </c>
      <c r="E3" s="25" t="s">
        <v>52</v>
      </c>
      <c r="F3" s="25" t="s">
        <v>53</v>
      </c>
      <c r="G3" s="25" t="s">
        <v>54</v>
      </c>
      <c r="H3" s="25" t="s">
        <v>55</v>
      </c>
      <c r="I3" s="25" t="s">
        <v>56</v>
      </c>
    </row>
    <row r="4" customFormat="false" ht="15" hidden="false" customHeight="false" outlineLevel="0" collapsed="false">
      <c r="A4" s="26" t="s">
        <v>91</v>
      </c>
      <c r="B4" s="36" t="n">
        <f aca="false">Assumptions!B4</f>
        <v>315.3</v>
      </c>
      <c r="C4" s="36" t="n">
        <f aca="false">Assumptions!C4</f>
        <v>306.3</v>
      </c>
      <c r="D4" s="36" t="n">
        <f aca="false">Assumptions!D4</f>
        <v>313.3</v>
      </c>
      <c r="E4" s="36" t="n">
        <f aca="false">Assumptions!E4</f>
        <v>356.8</v>
      </c>
      <c r="F4" s="36" t="n">
        <f aca="false">Assumptions!F4</f>
        <v>413.7</v>
      </c>
      <c r="G4" s="36" t="n">
        <f aca="false">F4*(1+Assumptions!G6)</f>
        <v>426.111</v>
      </c>
      <c r="H4" s="36" t="n">
        <f aca="false">G4*(1+Assumptions!H6)</f>
        <v>441.024885</v>
      </c>
      <c r="I4" s="36" t="n">
        <f aca="false">H4*(1+Assumptions!I6)</f>
        <v>458.6658804</v>
      </c>
    </row>
    <row r="5" customFormat="false" ht="15" hidden="false" customHeight="false" outlineLevel="0" collapsed="false">
      <c r="A5" s="5" t="s">
        <v>92</v>
      </c>
      <c r="B5" s="37"/>
      <c r="C5" s="37" t="n">
        <f aca="false">C4/B4-1</f>
        <v>-0.0285442435775451</v>
      </c>
      <c r="D5" s="37" t="n">
        <f aca="false">D4/C4-1</f>
        <v>0.0228534116878878</v>
      </c>
      <c r="E5" s="37" t="n">
        <f aca="false">E4/D4-1</f>
        <v>0.138844557931695</v>
      </c>
      <c r="F5" s="37" t="n">
        <f aca="false">F4/E4-1</f>
        <v>0.159473094170403</v>
      </c>
      <c r="G5" s="37" t="n">
        <f aca="false">G4/F4-1</f>
        <v>0.03</v>
      </c>
      <c r="H5" s="37" t="n">
        <f aca="false">H4/G4-1</f>
        <v>0.0349999999999999</v>
      </c>
      <c r="I5" s="37" t="n">
        <f aca="false">I4/H4-1</f>
        <v>0.04</v>
      </c>
    </row>
    <row r="6" customFormat="false" ht="15" hidden="false" customHeight="false" outlineLevel="0" collapsed="false">
      <c r="A6" s="26" t="s">
        <v>93</v>
      </c>
      <c r="B6" s="36" t="n">
        <f aca="false">Assumptions!B5</f>
        <v>25.5</v>
      </c>
      <c r="C6" s="36" t="n">
        <f aca="false">Assumptions!C5</f>
        <v>21</v>
      </c>
      <c r="D6" s="36" t="n">
        <f aca="false">Assumptions!D5</f>
        <v>26.9</v>
      </c>
      <c r="E6" s="36" t="n">
        <f aca="false">Assumptions!E5</f>
        <v>28.7</v>
      </c>
      <c r="F6" s="36" t="n">
        <f aca="false">Assumptions!F5</f>
        <v>31.3</v>
      </c>
      <c r="G6" s="36" t="n">
        <f aca="false">G4*Assumptions!G7</f>
        <v>32.384436</v>
      </c>
      <c r="H6" s="36" t="n">
        <f aca="false">H4*Assumptions!H7</f>
        <v>33.51789126</v>
      </c>
      <c r="I6" s="36" t="n">
        <f aca="false">I4*Assumptions!I7</f>
        <v>34.8586069104</v>
      </c>
    </row>
    <row r="7" customFormat="false" ht="15" hidden="false" customHeight="false" outlineLevel="0" collapsed="false">
      <c r="A7" s="5" t="s">
        <v>94</v>
      </c>
      <c r="B7" s="37" t="n">
        <f aca="false">B6/B4</f>
        <v>0.0808753568030447</v>
      </c>
      <c r="C7" s="37" t="n">
        <f aca="false">C6/C4</f>
        <v>0.0685602350636631</v>
      </c>
      <c r="D7" s="37" t="n">
        <f aca="false">D6/D4</f>
        <v>0.0858601978933929</v>
      </c>
      <c r="E7" s="37" t="n">
        <f aca="false">E6/E4</f>
        <v>0.0804372197309417</v>
      </c>
      <c r="F7" s="37" t="n">
        <f aca="false">F6/F4</f>
        <v>0.0756586898718878</v>
      </c>
      <c r="G7" s="37" t="n">
        <f aca="false">G6/G4</f>
        <v>0.076</v>
      </c>
      <c r="H7" s="37" t="n">
        <f aca="false">H6/H4</f>
        <v>0.076</v>
      </c>
      <c r="I7" s="37" t="n">
        <f aca="false">I6/I4</f>
        <v>0.076</v>
      </c>
    </row>
    <row r="8" customFormat="false" ht="15" hidden="false" customHeight="false" outlineLevel="0" collapsed="false">
      <c r="A8" s="29" t="s">
        <v>95</v>
      </c>
      <c r="B8" s="38" t="n">
        <f aca="false">-B4*Assumptions!B8</f>
        <v>-8.1978</v>
      </c>
      <c r="C8" s="38" t="n">
        <f aca="false">-C4*Assumptions!C8</f>
        <v>-7.9638</v>
      </c>
      <c r="D8" s="38" t="n">
        <f aca="false">-D4*Assumptions!D8</f>
        <v>-8.1458</v>
      </c>
      <c r="E8" s="38" t="n">
        <f aca="false">-E4*Assumptions!E8</f>
        <v>-9.2768</v>
      </c>
      <c r="F8" s="38" t="n">
        <f aca="false">-F4*Assumptions!F8</f>
        <v>-10.7562</v>
      </c>
      <c r="G8" s="38" t="n">
        <f aca="false">-G4*Assumptions!G8</f>
        <v>-11.078886</v>
      </c>
      <c r="H8" s="38" t="n">
        <f aca="false">-H4*Assumptions!H8</f>
        <v>-11.46664701</v>
      </c>
      <c r="I8" s="38" t="n">
        <f aca="false">-I4*Assumptions!I8</f>
        <v>-11.9253128904</v>
      </c>
    </row>
    <row r="9" customFormat="false" ht="15" hidden="false" customHeight="false" outlineLevel="0" collapsed="false">
      <c r="A9" s="26" t="s">
        <v>96</v>
      </c>
      <c r="B9" s="39" t="n">
        <f aca="false">B6+B8</f>
        <v>17.3022</v>
      </c>
      <c r="C9" s="39" t="n">
        <f aca="false">C6+C8</f>
        <v>13.0362</v>
      </c>
      <c r="D9" s="39" t="n">
        <f aca="false">D6+D8</f>
        <v>18.7542</v>
      </c>
      <c r="E9" s="39" t="n">
        <f aca="false">E6+E8</f>
        <v>19.4232</v>
      </c>
      <c r="F9" s="39" t="n">
        <f aca="false">F6+F8</f>
        <v>20.5438</v>
      </c>
      <c r="G9" s="39" t="n">
        <f aca="false">G6+G8</f>
        <v>21.30555</v>
      </c>
      <c r="H9" s="39" t="n">
        <f aca="false">H6+H8</f>
        <v>22.05124425</v>
      </c>
      <c r="I9" s="39" t="n">
        <f aca="false">I6+I8</f>
        <v>22.93329402</v>
      </c>
    </row>
    <row r="10" customFormat="false" ht="15" hidden="false" customHeight="false" outlineLevel="0" collapsed="false">
      <c r="A10" s="5" t="s">
        <v>97</v>
      </c>
      <c r="B10" s="37" t="n">
        <f aca="false">B9/B4</f>
        <v>0.0548753568030447</v>
      </c>
      <c r="C10" s="37" t="n">
        <f aca="false">C9/C4</f>
        <v>0.0425602350636631</v>
      </c>
      <c r="D10" s="37" t="n">
        <f aca="false">D9/D4</f>
        <v>0.0598601978933929</v>
      </c>
      <c r="E10" s="37" t="n">
        <f aca="false">E9/E4</f>
        <v>0.0544372197309417</v>
      </c>
      <c r="F10" s="37" t="n">
        <f aca="false">F9/F4</f>
        <v>0.0496586898718878</v>
      </c>
      <c r="G10" s="37" t="n">
        <f aca="false">G9/G4</f>
        <v>0.05</v>
      </c>
      <c r="H10" s="37" t="n">
        <f aca="false">H9/H4</f>
        <v>0.05</v>
      </c>
      <c r="I10" s="37" t="n">
        <f aca="false">I9/I4</f>
        <v>0.05</v>
      </c>
    </row>
    <row r="11" customFormat="false" ht="15" hidden="false" customHeight="false" outlineLevel="0" collapsed="false">
      <c r="A11" s="29" t="s">
        <v>98</v>
      </c>
      <c r="B11" s="40" t="n">
        <f aca="false">-Assumptions!B11*'Balance Sheet'!B9</f>
        <v>-2.136</v>
      </c>
      <c r="C11" s="40" t="n">
        <f aca="false">-Assumptions!C11*'Balance Sheet'!B9</f>
        <v>-2.136</v>
      </c>
      <c r="D11" s="40" t="n">
        <f aca="false">-Assumptions!D11*'Balance Sheet'!C9</f>
        <v>-1.8</v>
      </c>
      <c r="E11" s="40" t="n">
        <f aca="false">-Assumptions!E11*'Balance Sheet'!D9</f>
        <v>-0.786</v>
      </c>
      <c r="F11" s="40" t="n">
        <f aca="false">-Assumptions!F11*'Balance Sheet'!E9</f>
        <v>-1.236</v>
      </c>
      <c r="G11" s="40" t="n">
        <f aca="false">-Assumptions!G11*'Balance Sheet'!F9</f>
        <v>-1.284</v>
      </c>
      <c r="H11" s="40" t="n">
        <f aca="false">-Assumptions!H11*'Balance Sheet'!G9</f>
        <v>-0.741530562</v>
      </c>
      <c r="I11" s="40" t="n">
        <f aca="false">-Assumptions!I11*'Balance Sheet'!H9</f>
        <v>-0.16269281048112</v>
      </c>
    </row>
    <row r="12" customFormat="false" ht="15" hidden="false" customHeight="false" outlineLevel="0" collapsed="false">
      <c r="A12" s="26" t="s">
        <v>99</v>
      </c>
      <c r="B12" s="39" t="n">
        <f aca="false">B9+B11</f>
        <v>15.1662</v>
      </c>
      <c r="C12" s="39" t="n">
        <f aca="false">C9+C11</f>
        <v>10.9002</v>
      </c>
      <c r="D12" s="39" t="n">
        <f aca="false">D9+D11</f>
        <v>16.9542</v>
      </c>
      <c r="E12" s="39" t="n">
        <f aca="false">E9+E11</f>
        <v>18.6372</v>
      </c>
      <c r="F12" s="39" t="n">
        <f aca="false">F9+F11</f>
        <v>19.3078</v>
      </c>
      <c r="G12" s="39" t="n">
        <f aca="false">G9+G11</f>
        <v>20.02155</v>
      </c>
      <c r="H12" s="39" t="n">
        <f aca="false">H9+H11</f>
        <v>21.309713688</v>
      </c>
      <c r="I12" s="39" t="n">
        <f aca="false">I9+I11</f>
        <v>22.7706012095189</v>
      </c>
    </row>
    <row r="13" customFormat="false" ht="15" hidden="false" customHeight="false" outlineLevel="0" collapsed="false">
      <c r="A13" s="5" t="s">
        <v>100</v>
      </c>
      <c r="C13" s="41" t="n">
        <v>13.9</v>
      </c>
      <c r="E13" s="41" t="n">
        <v>17</v>
      </c>
      <c r="F13" s="41" t="n">
        <v>17.7</v>
      </c>
    </row>
    <row r="14" customFormat="false" ht="15" hidden="false" customHeight="false" outlineLevel="0" collapsed="false">
      <c r="A14" s="29" t="s">
        <v>101</v>
      </c>
      <c r="B14" s="38" t="n">
        <f aca="false">-B12*Assumptions!B12</f>
        <v>-3.336564</v>
      </c>
      <c r="C14" s="38" t="n">
        <f aca="false">-C12*Assumptions!C12</f>
        <v>-2.398044</v>
      </c>
      <c r="D14" s="38" t="n">
        <f aca="false">-D12*Assumptions!D12</f>
        <v>-3.729924</v>
      </c>
      <c r="E14" s="38" t="n">
        <f aca="false">-E12*Assumptions!E12</f>
        <v>-4.100184</v>
      </c>
      <c r="F14" s="38" t="n">
        <f aca="false">-F12*Assumptions!F12</f>
        <v>-4.247716</v>
      </c>
      <c r="G14" s="38" t="n">
        <f aca="false">-G12*Assumptions!G12</f>
        <v>-4.404741</v>
      </c>
      <c r="H14" s="38" t="n">
        <f aca="false">-H12*Assumptions!H12</f>
        <v>-4.68813701136</v>
      </c>
      <c r="I14" s="38" t="n">
        <f aca="false">-I12*Assumptions!I12</f>
        <v>-5.00953226609415</v>
      </c>
    </row>
    <row r="15" customFormat="false" ht="15" hidden="false" customHeight="false" outlineLevel="0" collapsed="false">
      <c r="A15" s="26" t="s">
        <v>102</v>
      </c>
      <c r="B15" s="39" t="n">
        <f aca="false">B12+B14</f>
        <v>11.829636</v>
      </c>
      <c r="C15" s="39" t="n">
        <f aca="false">C12+C14</f>
        <v>8.502156</v>
      </c>
      <c r="D15" s="39" t="n">
        <f aca="false">D12+D14</f>
        <v>13.224276</v>
      </c>
      <c r="E15" s="39" t="n">
        <f aca="false">E12+E14</f>
        <v>14.537016</v>
      </c>
      <c r="F15" s="39" t="n">
        <f aca="false">F12+F14</f>
        <v>15.060084</v>
      </c>
      <c r="G15" s="39" t="n">
        <f aca="false">G12+G14</f>
        <v>15.616809</v>
      </c>
      <c r="H15" s="39" t="n">
        <f aca="false">H12+H14</f>
        <v>16.62157667664</v>
      </c>
      <c r="I15" s="39" t="n">
        <f aca="false">I12+I14</f>
        <v>17.7610689434247</v>
      </c>
    </row>
    <row r="16" customFormat="false" ht="15" hidden="false" customHeight="false" outlineLevel="0" collapsed="false">
      <c r="A16" s="29" t="s">
        <v>103</v>
      </c>
      <c r="B16" s="38" t="n">
        <f aca="false">-B15*Assumptions!B13</f>
        <v>-3.5488908</v>
      </c>
      <c r="C16" s="38" t="n">
        <f aca="false">-C15*Assumptions!C13</f>
        <v>-2.5506468</v>
      </c>
      <c r="D16" s="38" t="n">
        <f aca="false">-D15*Assumptions!D13</f>
        <v>-3.9672828</v>
      </c>
      <c r="E16" s="38" t="n">
        <f aca="false">-E15*Assumptions!E13</f>
        <v>-4.3611048</v>
      </c>
      <c r="F16" s="38" t="n">
        <f aca="false">-F15*Assumptions!F13</f>
        <v>-4.5180252</v>
      </c>
      <c r="G16" s="38" t="n">
        <f aca="false">-G15*Assumptions!G13</f>
        <v>-4.6850427</v>
      </c>
      <c r="H16" s="38" t="n">
        <f aca="false">-H15*Assumptions!H13</f>
        <v>-4.986473002992</v>
      </c>
      <c r="I16" s="38" t="n">
        <f aca="false">-I15*Assumptions!I13</f>
        <v>-5.32832068302742</v>
      </c>
    </row>
    <row r="17" customFormat="false" ht="15" hidden="false" customHeight="false" outlineLevel="0" collapsed="false">
      <c r="A17" s="29" t="s">
        <v>104</v>
      </c>
      <c r="B17" s="42" t="n">
        <f aca="false">B15+B16</f>
        <v>8.2807452</v>
      </c>
      <c r="C17" s="42" t="n">
        <f aca="false">C15+C16</f>
        <v>5.9515092</v>
      </c>
      <c r="D17" s="42" t="n">
        <f aca="false">D15+D16</f>
        <v>9.2569932</v>
      </c>
      <c r="E17" s="42" t="n">
        <f aca="false">E15+E16</f>
        <v>10.1759112</v>
      </c>
      <c r="F17" s="42" t="n">
        <f aca="false">F15+F16</f>
        <v>10.5420588</v>
      </c>
      <c r="G17" s="42" t="n">
        <f aca="false">G15+G16</f>
        <v>10.9317663</v>
      </c>
      <c r="H17" s="42" t="n">
        <f aca="false">H15+H16</f>
        <v>11.635103673648</v>
      </c>
      <c r="I17" s="42" t="n">
        <f aca="false">I15+I16</f>
        <v>12.4327482603973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9" min="2" style="0" width="11"/>
  </cols>
  <sheetData>
    <row r="1" customFormat="false" ht="17.35" hidden="false" customHeight="false" outlineLevel="0" collapsed="false">
      <c r="A1" s="23" t="s">
        <v>105</v>
      </c>
      <c r="B1" s="23"/>
      <c r="C1" s="23"/>
      <c r="D1" s="23"/>
      <c r="E1" s="23"/>
      <c r="F1" s="23"/>
      <c r="G1" s="23"/>
      <c r="H1" s="23"/>
      <c r="I1" s="23"/>
    </row>
    <row r="3" customFormat="false" ht="15" hidden="false" customHeight="false" outlineLevel="0" collapsed="false">
      <c r="A3" s="24" t="s">
        <v>48</v>
      </c>
      <c r="B3" s="25" t="s">
        <v>49</v>
      </c>
      <c r="C3" s="25" t="s">
        <v>50</v>
      </c>
      <c r="D3" s="25" t="s">
        <v>51</v>
      </c>
      <c r="E3" s="25" t="s">
        <v>52</v>
      </c>
      <c r="F3" s="25" t="s">
        <v>53</v>
      </c>
      <c r="G3" s="25" t="s">
        <v>54</v>
      </c>
      <c r="H3" s="25" t="s">
        <v>55</v>
      </c>
      <c r="I3" s="25" t="s">
        <v>56</v>
      </c>
    </row>
    <row r="4" customFormat="false" ht="15" hidden="false" customHeight="false" outlineLevel="0" collapsed="false">
      <c r="A4" s="29" t="s">
        <v>106</v>
      </c>
      <c r="B4" s="40" t="n">
        <f aca="false">'Income Statement'!B9</f>
        <v>17.3022</v>
      </c>
      <c r="C4" s="40" t="n">
        <f aca="false">'Income Statement'!C9</f>
        <v>13.0362</v>
      </c>
      <c r="D4" s="40" t="n">
        <f aca="false">'Income Statement'!D9</f>
        <v>18.7542</v>
      </c>
      <c r="E4" s="40" t="n">
        <f aca="false">'Income Statement'!E9</f>
        <v>19.4232</v>
      </c>
      <c r="F4" s="40" t="n">
        <f aca="false">'Income Statement'!F9</f>
        <v>20.5438</v>
      </c>
      <c r="G4" s="40" t="n">
        <f aca="false">'Income Statement'!G9</f>
        <v>21.30555</v>
      </c>
      <c r="H4" s="40" t="n">
        <f aca="false">'Income Statement'!H9</f>
        <v>22.05124425</v>
      </c>
      <c r="I4" s="40" t="n">
        <f aca="false">'Income Statement'!I9</f>
        <v>22.93329402</v>
      </c>
    </row>
    <row r="5" customFormat="false" ht="15" hidden="false" customHeight="false" outlineLevel="0" collapsed="false">
      <c r="A5" s="29" t="s">
        <v>107</v>
      </c>
      <c r="B5" s="38" t="n">
        <f aca="false">-B4*Assumptions!B12</f>
        <v>-3.806484</v>
      </c>
      <c r="C5" s="38" t="n">
        <f aca="false">-C4*Assumptions!C12</f>
        <v>-2.867964</v>
      </c>
      <c r="D5" s="38" t="n">
        <f aca="false">-D4*Assumptions!D12</f>
        <v>-4.125924</v>
      </c>
      <c r="E5" s="38" t="n">
        <f aca="false">-E4*Assumptions!E12</f>
        <v>-4.273104</v>
      </c>
      <c r="F5" s="38" t="n">
        <f aca="false">-F4*Assumptions!F12</f>
        <v>-4.519636</v>
      </c>
      <c r="G5" s="38" t="n">
        <f aca="false">-G4*Assumptions!G12</f>
        <v>-4.687221</v>
      </c>
      <c r="H5" s="38" t="n">
        <f aca="false">-H4*Assumptions!H12</f>
        <v>-4.851273735</v>
      </c>
      <c r="I5" s="38" t="n">
        <f aca="false">-I4*Assumptions!I12</f>
        <v>-5.0453246844</v>
      </c>
    </row>
    <row r="6" customFormat="false" ht="15" hidden="false" customHeight="false" outlineLevel="0" collapsed="false">
      <c r="A6" s="29" t="s">
        <v>108</v>
      </c>
      <c r="B6" s="40" t="n">
        <f aca="false">-'Income Statement'!B8</f>
        <v>8.1978</v>
      </c>
      <c r="C6" s="40" t="n">
        <f aca="false">-'Income Statement'!C8</f>
        <v>7.9638</v>
      </c>
      <c r="D6" s="40" t="n">
        <f aca="false">-'Income Statement'!D8</f>
        <v>8.1458</v>
      </c>
      <c r="E6" s="40" t="n">
        <f aca="false">-'Income Statement'!E8</f>
        <v>9.2768</v>
      </c>
      <c r="F6" s="40" t="n">
        <f aca="false">-'Income Statement'!F8</f>
        <v>10.7562</v>
      </c>
      <c r="G6" s="40" t="n">
        <f aca="false">-'Income Statement'!G8</f>
        <v>11.078886</v>
      </c>
      <c r="H6" s="40" t="n">
        <f aca="false">-'Income Statement'!H8</f>
        <v>11.46664701</v>
      </c>
      <c r="I6" s="40" t="n">
        <f aca="false">-'Income Statement'!I8</f>
        <v>11.9253128904</v>
      </c>
    </row>
    <row r="7" customFormat="false" ht="15" hidden="false" customHeight="false" outlineLevel="0" collapsed="false">
      <c r="A7" s="5" t="s">
        <v>109</v>
      </c>
      <c r="B7" s="6" t="n">
        <f aca="false">'Income Statement'!B4*Assumptions!B10</f>
        <v>4.7295</v>
      </c>
      <c r="C7" s="6" t="n">
        <f aca="false">'Income Statement'!C4*Assumptions!C10</f>
        <v>4.5945</v>
      </c>
      <c r="D7" s="6" t="n">
        <f aca="false">'Income Statement'!D4*Assumptions!D10</f>
        <v>4.6995</v>
      </c>
      <c r="E7" s="6" t="n">
        <f aca="false">'Income Statement'!E4*Assumptions!E10</f>
        <v>5.352</v>
      </c>
      <c r="F7" s="6" t="n">
        <f aca="false">'Income Statement'!F4*Assumptions!F10</f>
        <v>6.2055</v>
      </c>
      <c r="G7" s="6" t="n">
        <f aca="false">'Income Statement'!G4*Assumptions!G10</f>
        <v>6.391665</v>
      </c>
      <c r="H7" s="6" t="n">
        <f aca="false">'Income Statement'!H4*Assumptions!H10</f>
        <v>6.615373275</v>
      </c>
      <c r="I7" s="6" t="n">
        <f aca="false">'Income Statement'!I4*Assumptions!I10</f>
        <v>6.879988206</v>
      </c>
    </row>
    <row r="8" customFormat="false" ht="15" hidden="false" customHeight="false" outlineLevel="0" collapsed="false">
      <c r="A8" s="29" t="s">
        <v>110</v>
      </c>
      <c r="B8" s="38" t="n">
        <f aca="false">0</f>
        <v>0</v>
      </c>
      <c r="C8" s="38" t="n">
        <f aca="false">-(C7-B7)</f>
        <v>0.135</v>
      </c>
      <c r="D8" s="38" t="n">
        <f aca="false">-(D7-C7)</f>
        <v>-0.105</v>
      </c>
      <c r="E8" s="38" t="n">
        <f aca="false">-(E7-D7)</f>
        <v>-0.652500000000001</v>
      </c>
      <c r="F8" s="38" t="n">
        <f aca="false">-(F7-E7)</f>
        <v>-0.8535</v>
      </c>
      <c r="G8" s="38" t="n">
        <f aca="false">-(G7-F7)</f>
        <v>-0.186165</v>
      </c>
      <c r="H8" s="38" t="n">
        <f aca="false">-(H7-G7)</f>
        <v>-0.223708275</v>
      </c>
      <c r="I8" s="38" t="n">
        <f aca="false">-(I7-H7)</f>
        <v>-0.264614931</v>
      </c>
    </row>
    <row r="9" customFormat="false" ht="15" hidden="false" customHeight="false" outlineLevel="0" collapsed="false">
      <c r="A9" s="29" t="s">
        <v>111</v>
      </c>
      <c r="B9" s="38" t="n">
        <f aca="false">-'Income Statement'!B4*Assumptions!B9</f>
        <v>-9.459</v>
      </c>
      <c r="C9" s="38" t="n">
        <f aca="false">-'Income Statement'!C4*Assumptions!C9</f>
        <v>-9.189</v>
      </c>
      <c r="D9" s="38" t="n">
        <f aca="false">-'Income Statement'!D4*Assumptions!D9</f>
        <v>-9.399</v>
      </c>
      <c r="E9" s="38" t="n">
        <f aca="false">-'Income Statement'!E4*Assumptions!E9</f>
        <v>-10.704</v>
      </c>
      <c r="F9" s="38" t="n">
        <f aca="false">-'Income Statement'!F4*Assumptions!F9</f>
        <v>-12.411</v>
      </c>
      <c r="G9" s="38" t="n">
        <f aca="false">-'Income Statement'!G4*Assumptions!G9</f>
        <v>-12.78333</v>
      </c>
      <c r="H9" s="38" t="n">
        <f aca="false">-'Income Statement'!H4*Assumptions!H9</f>
        <v>-13.23074655</v>
      </c>
      <c r="I9" s="38" t="n">
        <f aca="false">-'Income Statement'!I4*Assumptions!I9</f>
        <v>-13.759976412</v>
      </c>
    </row>
    <row r="10" customFormat="false" ht="15" hidden="false" customHeight="false" outlineLevel="0" collapsed="false">
      <c r="A10" s="26" t="s">
        <v>112</v>
      </c>
      <c r="B10" s="43" t="n">
        <f aca="false">B4+B5+B6+B8+B9</f>
        <v>12.234516</v>
      </c>
      <c r="C10" s="43" t="n">
        <f aca="false">C4+C5+C6+C8+C9</f>
        <v>9.078036</v>
      </c>
      <c r="D10" s="43" t="n">
        <f aca="false">D4+D5+D6+D8+D9</f>
        <v>13.270076</v>
      </c>
      <c r="E10" s="43" t="n">
        <f aca="false">E4+E5+E6+E8+E9</f>
        <v>13.070396</v>
      </c>
      <c r="F10" s="43" t="n">
        <f aca="false">F4+F5+F6+F8+F9</f>
        <v>13.515864</v>
      </c>
      <c r="G10" s="43" t="n">
        <f aca="false">G4+G5+G6+G8+G9</f>
        <v>14.72772</v>
      </c>
      <c r="H10" s="43" t="n">
        <f aca="false">H4+H5+H6+H8+H9</f>
        <v>15.2121627</v>
      </c>
      <c r="I10" s="43" t="n">
        <f aca="false">I4+I5+I6+I8+I9</f>
        <v>15.788690883</v>
      </c>
    </row>
    <row r="12" customFormat="false" ht="15" hidden="false" customHeight="false" outlineLevel="0" collapsed="false">
      <c r="A12" s="29" t="s">
        <v>113</v>
      </c>
      <c r="B12" s="40" t="n">
        <f aca="false">'Income Statement'!B11*(1-Assumptions!B12)</f>
        <v>-1.66608</v>
      </c>
      <c r="C12" s="40" t="n">
        <f aca="false">'Income Statement'!C11*(1-Assumptions!C12)</f>
        <v>-1.66608</v>
      </c>
      <c r="D12" s="40" t="n">
        <f aca="false">'Income Statement'!D11*(1-Assumptions!D12)</f>
        <v>-1.404</v>
      </c>
      <c r="E12" s="40" t="n">
        <f aca="false">'Income Statement'!E11*(1-Assumptions!E12)</f>
        <v>-0.61308</v>
      </c>
      <c r="F12" s="40" t="n">
        <f aca="false">'Income Statement'!F11*(1-Assumptions!F12)</f>
        <v>-0.96408</v>
      </c>
      <c r="G12" s="40" t="n">
        <f aca="false">'Income Statement'!G11*(1-Assumptions!G12)</f>
        <v>-1.00152</v>
      </c>
      <c r="H12" s="40" t="n">
        <f aca="false">'Income Statement'!H11*(1-Assumptions!H12)</f>
        <v>-0.57839383836</v>
      </c>
      <c r="I12" s="40" t="n">
        <f aca="false">'Income Statement'!I11*(1-Assumptions!I12)</f>
        <v>-0.126900392175273</v>
      </c>
    </row>
    <row r="13" customFormat="false" ht="15" hidden="false" customHeight="false" outlineLevel="0" collapsed="false">
      <c r="A13" s="29" t="s">
        <v>114</v>
      </c>
      <c r="B13" s="40" t="n">
        <f aca="false">'Income Statement'!B16</f>
        <v>-3.5488908</v>
      </c>
      <c r="C13" s="40" t="n">
        <f aca="false">'Income Statement'!C16</f>
        <v>-2.5506468</v>
      </c>
      <c r="D13" s="40" t="n">
        <f aca="false">'Income Statement'!D16</f>
        <v>-3.9672828</v>
      </c>
      <c r="E13" s="40" t="n">
        <f aca="false">'Income Statement'!E16</f>
        <v>-4.3611048</v>
      </c>
      <c r="F13" s="40" t="n">
        <f aca="false">'Income Statement'!F16</f>
        <v>-4.5180252</v>
      </c>
      <c r="G13" s="40" t="n">
        <f aca="false">'Income Statement'!G16</f>
        <v>-4.6850427</v>
      </c>
      <c r="H13" s="40" t="n">
        <f aca="false">'Income Statement'!H16</f>
        <v>-4.986473002992</v>
      </c>
      <c r="I13" s="40" t="n">
        <f aca="false">'Income Statement'!I16</f>
        <v>-5.32832068302742</v>
      </c>
    </row>
    <row r="14" customFormat="false" ht="15" hidden="false" customHeight="false" outlineLevel="0" collapsed="false">
      <c r="A14" s="26" t="s">
        <v>115</v>
      </c>
      <c r="B14" s="43" t="n">
        <f aca="false">B10+B12+B13</f>
        <v>7.0195452</v>
      </c>
      <c r="C14" s="43" t="n">
        <f aca="false">C10+C12+C13</f>
        <v>4.8613092</v>
      </c>
      <c r="D14" s="43" t="n">
        <f aca="false">D10+D12+D13</f>
        <v>7.8987932</v>
      </c>
      <c r="E14" s="43" t="n">
        <f aca="false">E10+E12+E13</f>
        <v>8.0962112</v>
      </c>
      <c r="F14" s="43" t="n">
        <f aca="false">F10+F12+F13</f>
        <v>8.0337588</v>
      </c>
      <c r="G14" s="43" t="n">
        <f aca="false">G10+G12+G13</f>
        <v>9.0411573</v>
      </c>
      <c r="H14" s="43" t="n">
        <f aca="false">H10+H12+H13</f>
        <v>9.647295858648</v>
      </c>
      <c r="I14" s="43" t="n">
        <f aca="false">I10+I12+I13</f>
        <v>10.3334698077973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9" min="2" style="0" width="11"/>
  </cols>
  <sheetData>
    <row r="1" customFormat="false" ht="17.35" hidden="false" customHeight="false" outlineLevel="0" collapsed="false">
      <c r="A1" s="23" t="s">
        <v>116</v>
      </c>
      <c r="B1" s="23"/>
      <c r="C1" s="23"/>
      <c r="D1" s="23"/>
      <c r="E1" s="23"/>
      <c r="F1" s="23"/>
      <c r="G1" s="23"/>
      <c r="H1" s="23"/>
      <c r="I1" s="23"/>
    </row>
    <row r="3" customFormat="false" ht="15" hidden="false" customHeight="false" outlineLevel="0" collapsed="false">
      <c r="A3" s="24" t="s">
        <v>48</v>
      </c>
      <c r="B3" s="25" t="s">
        <v>49</v>
      </c>
      <c r="C3" s="25" t="s">
        <v>50</v>
      </c>
      <c r="D3" s="25" t="s">
        <v>51</v>
      </c>
      <c r="E3" s="25" t="s">
        <v>52</v>
      </c>
      <c r="F3" s="25" t="s">
        <v>53</v>
      </c>
      <c r="G3" s="25" t="s">
        <v>54</v>
      </c>
      <c r="H3" s="25" t="s">
        <v>55</v>
      </c>
      <c r="I3" s="25" t="s">
        <v>56</v>
      </c>
    </row>
    <row r="4" customFormat="false" ht="15" hidden="false" customHeight="false" outlineLevel="0" collapsed="false">
      <c r="A4" s="29" t="s">
        <v>117</v>
      </c>
      <c r="B4" s="44" t="n">
        <v>40</v>
      </c>
      <c r="C4" s="38" t="n">
        <f aca="false">B9</f>
        <v>35.6</v>
      </c>
      <c r="D4" s="38" t="n">
        <f aca="false">C9</f>
        <v>30</v>
      </c>
      <c r="E4" s="38" t="n">
        <f aca="false">D9</f>
        <v>13.1</v>
      </c>
      <c r="F4" s="38" t="n">
        <f aca="false">E9</f>
        <v>20.6</v>
      </c>
      <c r="G4" s="38" t="n">
        <f aca="false">F9</f>
        <v>21.4</v>
      </c>
      <c r="H4" s="38" t="n">
        <f aca="false">G9</f>
        <v>12.3588427</v>
      </c>
      <c r="I4" s="38" t="n">
        <f aca="false">H9</f>
        <v>2.711546841352</v>
      </c>
    </row>
    <row r="5" customFormat="false" ht="15" hidden="false" customHeight="false" outlineLevel="0" collapsed="false">
      <c r="A5" s="29" t="s">
        <v>118</v>
      </c>
      <c r="B5" s="40" t="n">
        <f aca="false">-'Cash Flow'!B14</f>
        <v>-7.0195452</v>
      </c>
      <c r="C5" s="40" t="n">
        <f aca="false">-'Cash Flow'!C14</f>
        <v>-4.8613092</v>
      </c>
      <c r="D5" s="40" t="n">
        <f aca="false">-'Cash Flow'!D14</f>
        <v>-7.8987932</v>
      </c>
      <c r="E5" s="40" t="n">
        <f aca="false">-'Cash Flow'!E14</f>
        <v>-8.0962112</v>
      </c>
      <c r="F5" s="40" t="n">
        <f aca="false">-'Cash Flow'!F14</f>
        <v>-8.0337588</v>
      </c>
      <c r="G5" s="40" t="n">
        <f aca="false">-'Cash Flow'!G14</f>
        <v>-9.0411573</v>
      </c>
      <c r="H5" s="40" t="n">
        <f aca="false">-'Cash Flow'!H14</f>
        <v>-9.647295858648</v>
      </c>
      <c r="I5" s="40" t="n">
        <f aca="false">-'Cash Flow'!I14</f>
        <v>-10.3334698077973</v>
      </c>
    </row>
    <row r="6" customFormat="false" ht="15" hidden="false" customHeight="false" outlineLevel="0" collapsed="false">
      <c r="A6" s="5" t="s">
        <v>119</v>
      </c>
      <c r="B6" s="6" t="n">
        <f aca="false">B4+B5</f>
        <v>32.9804548</v>
      </c>
      <c r="C6" s="6" t="n">
        <f aca="false">C4+C5</f>
        <v>30.7386908</v>
      </c>
      <c r="D6" s="6" t="n">
        <f aca="false">D4+D5</f>
        <v>22.1012068</v>
      </c>
      <c r="E6" s="6" t="n">
        <f aca="false">E4+E5</f>
        <v>5.0037888</v>
      </c>
      <c r="F6" s="6" t="n">
        <f aca="false">F4+F5</f>
        <v>12.5662412</v>
      </c>
      <c r="G6" s="6" t="n">
        <f aca="false">G4+G5</f>
        <v>12.3588427</v>
      </c>
      <c r="H6" s="6" t="n">
        <f aca="false">H4+H5</f>
        <v>2.711546841352</v>
      </c>
      <c r="I6" s="6" t="n">
        <f aca="false">I4+I5</f>
        <v>-7.62192296644531</v>
      </c>
    </row>
    <row r="8" customFormat="false" ht="15" hidden="false" customHeight="false" outlineLevel="0" collapsed="false">
      <c r="A8" s="5" t="s">
        <v>120</v>
      </c>
      <c r="B8" s="41" t="n">
        <v>35.6</v>
      </c>
      <c r="C8" s="41" t="n">
        <v>30</v>
      </c>
      <c r="D8" s="41" t="n">
        <v>13.1</v>
      </c>
      <c r="E8" s="41" t="n">
        <v>20.6</v>
      </c>
      <c r="F8" s="41" t="n">
        <v>21.4</v>
      </c>
    </row>
    <row r="9" customFormat="false" ht="15" hidden="false" customHeight="false" outlineLevel="0" collapsed="false">
      <c r="A9" s="26" t="s">
        <v>121</v>
      </c>
      <c r="B9" s="43" t="n">
        <f aca="false">B8</f>
        <v>35.6</v>
      </c>
      <c r="C9" s="43" t="n">
        <f aca="false">C8</f>
        <v>30</v>
      </c>
      <c r="D9" s="43" t="n">
        <f aca="false">D8</f>
        <v>13.1</v>
      </c>
      <c r="E9" s="43" t="n">
        <f aca="false">E8</f>
        <v>20.6</v>
      </c>
      <c r="F9" s="43" t="n">
        <f aca="false">F8</f>
        <v>21.4</v>
      </c>
      <c r="G9" s="43" t="n">
        <f aca="false">G6</f>
        <v>12.3588427</v>
      </c>
      <c r="H9" s="43" t="n">
        <f aca="false">H6</f>
        <v>2.711546841352</v>
      </c>
      <c r="I9" s="43" t="n">
        <f aca="false">I6</f>
        <v>-7.62192296644531</v>
      </c>
    </row>
    <row r="11" customFormat="false" ht="15" hidden="false" customHeight="false" outlineLevel="0" collapsed="false">
      <c r="A11" s="29" t="s">
        <v>122</v>
      </c>
      <c r="B11" s="44" t="n">
        <v>95</v>
      </c>
      <c r="C11" s="38" t="n">
        <f aca="false">B13</f>
        <v>103.2807452</v>
      </c>
      <c r="D11" s="38" t="n">
        <f aca="false">C13</f>
        <v>109.2322544</v>
      </c>
      <c r="E11" s="38" t="n">
        <f aca="false">D13</f>
        <v>118.4892476</v>
      </c>
      <c r="F11" s="38" t="n">
        <f aca="false">E13</f>
        <v>128.6651588</v>
      </c>
      <c r="G11" s="38" t="n">
        <f aca="false">F13</f>
        <v>139.2072176</v>
      </c>
      <c r="H11" s="38" t="n">
        <f aca="false">G13</f>
        <v>150.1389839</v>
      </c>
      <c r="I11" s="38" t="n">
        <f aca="false">H13</f>
        <v>161.774087573648</v>
      </c>
    </row>
    <row r="12" customFormat="false" ht="15" hidden="false" customHeight="false" outlineLevel="0" collapsed="false">
      <c r="A12" s="29" t="s">
        <v>123</v>
      </c>
      <c r="B12" s="40" t="n">
        <f aca="false">'Income Statement'!B17</f>
        <v>8.2807452</v>
      </c>
      <c r="C12" s="40" t="n">
        <f aca="false">'Income Statement'!C17</f>
        <v>5.9515092</v>
      </c>
      <c r="D12" s="40" t="n">
        <f aca="false">'Income Statement'!D17</f>
        <v>9.2569932</v>
      </c>
      <c r="E12" s="40" t="n">
        <f aca="false">'Income Statement'!E17</f>
        <v>10.1759112</v>
      </c>
      <c r="F12" s="40" t="n">
        <f aca="false">'Income Statement'!F17</f>
        <v>10.5420588</v>
      </c>
      <c r="G12" s="40" t="n">
        <f aca="false">'Income Statement'!G17</f>
        <v>10.9317663</v>
      </c>
      <c r="H12" s="40" t="n">
        <f aca="false">'Income Statement'!H17</f>
        <v>11.635103673648</v>
      </c>
      <c r="I12" s="40" t="n">
        <f aca="false">'Income Statement'!I17</f>
        <v>12.4327482603973</v>
      </c>
    </row>
    <row r="13" customFormat="false" ht="15" hidden="false" customHeight="false" outlineLevel="0" collapsed="false">
      <c r="A13" s="26" t="s">
        <v>124</v>
      </c>
      <c r="B13" s="43" t="n">
        <f aca="false">B11+B12</f>
        <v>103.2807452</v>
      </c>
      <c r="C13" s="43" t="n">
        <f aca="false">C11+C12</f>
        <v>109.2322544</v>
      </c>
      <c r="D13" s="43" t="n">
        <f aca="false">D11+D12</f>
        <v>118.4892476</v>
      </c>
      <c r="E13" s="43" t="n">
        <f aca="false">E11+E12</f>
        <v>128.6651588</v>
      </c>
      <c r="F13" s="43" t="n">
        <f aca="false">F11+F12</f>
        <v>139.2072176</v>
      </c>
      <c r="G13" s="43" t="n">
        <f aca="false">G11+G12</f>
        <v>150.1389839</v>
      </c>
      <c r="H13" s="43" t="n">
        <f aca="false">H11+H12</f>
        <v>161.774087573648</v>
      </c>
      <c r="I13" s="43" t="n">
        <f aca="false">I11+I12</f>
        <v>174.206835834045</v>
      </c>
    </row>
    <row r="15" customFormat="false" ht="15" hidden="false" customHeight="false" outlineLevel="0" collapsed="false">
      <c r="A15" s="26" t="s">
        <v>125</v>
      </c>
      <c r="B15" s="45" t="n">
        <f aca="false">B9+B13</f>
        <v>138.8807452</v>
      </c>
      <c r="C15" s="45" t="n">
        <f aca="false">C9+C13</f>
        <v>139.2322544</v>
      </c>
      <c r="D15" s="45" t="n">
        <f aca="false">D9+D13</f>
        <v>131.5892476</v>
      </c>
      <c r="E15" s="45" t="n">
        <f aca="false">E9+E13</f>
        <v>149.2651588</v>
      </c>
      <c r="F15" s="45" t="n">
        <f aca="false">F9+F13</f>
        <v>160.6072176</v>
      </c>
      <c r="G15" s="45" t="n">
        <f aca="false">G9+G13</f>
        <v>162.4978266</v>
      </c>
      <c r="H15" s="45" t="n">
        <f aca="false">H9+H13</f>
        <v>164.485634415</v>
      </c>
      <c r="I15" s="45" t="n">
        <f aca="false">I9+I13</f>
        <v>166.5849128676</v>
      </c>
    </row>
    <row r="17" customFormat="false" ht="15" hidden="false" customHeight="false" outlineLevel="0" collapsed="false">
      <c r="A17" s="29" t="s">
        <v>126</v>
      </c>
      <c r="B17" s="38" t="n">
        <f aca="false">'Income Statement'!B4*0.55</f>
        <v>173.415</v>
      </c>
      <c r="C17" s="38" t="n">
        <f aca="false">'Income Statement'!C4*0.55</f>
        <v>168.465</v>
      </c>
      <c r="D17" s="38" t="n">
        <f aca="false">'Income Statement'!D4*0.55</f>
        <v>172.315</v>
      </c>
      <c r="E17" s="38" t="n">
        <f aca="false">'Income Statement'!E4*0.55</f>
        <v>196.24</v>
      </c>
      <c r="F17" s="38" t="n">
        <f aca="false">'Income Statement'!F4*0.55</f>
        <v>227.535</v>
      </c>
      <c r="G17" s="38" t="n">
        <f aca="false">'Income Statement'!G4*0.55</f>
        <v>234.36105</v>
      </c>
      <c r="H17" s="38" t="n">
        <f aca="false">'Income Statement'!H4*0.55</f>
        <v>242.56368675</v>
      </c>
      <c r="I17" s="38" t="n">
        <f aca="false">'Income Statement'!I4*0.55</f>
        <v>252.26623422</v>
      </c>
    </row>
    <row r="18" customFormat="false" ht="15" hidden="false" customHeight="false" outlineLevel="0" collapsed="false">
      <c r="A18" s="29" t="s">
        <v>127</v>
      </c>
      <c r="B18" s="40" t="n">
        <f aca="false">'Cash Flow'!B7</f>
        <v>4.7295</v>
      </c>
      <c r="C18" s="40" t="n">
        <f aca="false">'Cash Flow'!C7</f>
        <v>4.5945</v>
      </c>
      <c r="D18" s="40" t="n">
        <f aca="false">'Cash Flow'!D7</f>
        <v>4.6995</v>
      </c>
      <c r="E18" s="40" t="n">
        <f aca="false">'Cash Flow'!E7</f>
        <v>5.352</v>
      </c>
      <c r="F18" s="40" t="n">
        <f aca="false">'Cash Flow'!F7</f>
        <v>6.2055</v>
      </c>
      <c r="G18" s="40" t="n">
        <f aca="false">'Cash Flow'!G7</f>
        <v>6.391665</v>
      </c>
      <c r="H18" s="40" t="n">
        <f aca="false">'Cash Flow'!H7</f>
        <v>6.615373275</v>
      </c>
      <c r="I18" s="40" t="n">
        <f aca="false">'Cash Flow'!I7</f>
        <v>6.879988206</v>
      </c>
    </row>
    <row r="19" customFormat="false" ht="15" hidden="false" customHeight="false" outlineLevel="0" collapsed="false">
      <c r="A19" s="5" t="s">
        <v>128</v>
      </c>
      <c r="B19" s="6" t="n">
        <f aca="false">B15-B17-B18</f>
        <v>-39.2637548</v>
      </c>
      <c r="C19" s="6" t="n">
        <f aca="false">C15-C17-C18</f>
        <v>-33.8272456</v>
      </c>
      <c r="D19" s="6" t="n">
        <f aca="false">D15-D17-D18</f>
        <v>-45.4252524</v>
      </c>
      <c r="E19" s="6" t="n">
        <f aca="false">E15-E17-E18</f>
        <v>-52.3268412</v>
      </c>
      <c r="F19" s="6" t="n">
        <f aca="false">F15-F17-F18</f>
        <v>-73.1332824</v>
      </c>
      <c r="G19" s="6" t="n">
        <f aca="false">G15-G17-G18</f>
        <v>-78.2548884</v>
      </c>
      <c r="H19" s="6" t="n">
        <f aca="false">H15-H17-H18</f>
        <v>-84.69342561</v>
      </c>
      <c r="I19" s="6" t="n">
        <f aca="false">I15-I17-I18</f>
        <v>-92.5613095584</v>
      </c>
    </row>
    <row r="20" customFormat="false" ht="15" hidden="false" customHeight="false" outlineLevel="0" collapsed="false">
      <c r="A20" s="5" t="s">
        <v>129</v>
      </c>
      <c r="B20" s="6" t="n">
        <f aca="false">B17+B18+B19-B15</f>
        <v>0</v>
      </c>
      <c r="C20" s="6" t="n">
        <f aca="false">C17+C18+C19-C15</f>
        <v>0</v>
      </c>
      <c r="D20" s="6" t="n">
        <f aca="false">D17+D18+D19-D15</f>
        <v>0</v>
      </c>
      <c r="E20" s="6" t="n">
        <f aca="false">E17+E18+E19-E15</f>
        <v>0</v>
      </c>
      <c r="F20" s="6" t="n">
        <f aca="false">F17+F18+F19-F15</f>
        <v>0</v>
      </c>
      <c r="G20" s="6" t="n">
        <f aca="false">G17+G18+G19-G15</f>
        <v>0</v>
      </c>
      <c r="H20" s="6" t="n">
        <f aca="false">H17+H18+H19-H15</f>
        <v>0</v>
      </c>
      <c r="I20" s="6" t="n">
        <f aca="false">I17+I18+I19-I15</f>
        <v>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7" min="2" style="0" width="13"/>
  </cols>
  <sheetData>
    <row r="1" customFormat="false" ht="17.35" hidden="false" customHeight="false" outlineLevel="0" collapsed="false">
      <c r="A1" s="23" t="s">
        <v>130</v>
      </c>
      <c r="B1" s="23"/>
      <c r="C1" s="23"/>
      <c r="D1" s="23"/>
      <c r="E1" s="23"/>
      <c r="F1" s="23"/>
      <c r="G1" s="23"/>
    </row>
    <row r="3" customFormat="false" ht="15" hidden="false" customHeight="false" outlineLevel="0" collapsed="false">
      <c r="A3" s="32" t="s">
        <v>131</v>
      </c>
    </row>
    <row r="4" customFormat="false" ht="15" hidden="false" customHeight="false" outlineLevel="0" collapsed="false">
      <c r="A4" s="29" t="s">
        <v>74</v>
      </c>
      <c r="B4" s="30" t="n">
        <f aca="false">Assumptions!B16</f>
        <v>0.042</v>
      </c>
    </row>
    <row r="5" customFormat="false" ht="15" hidden="false" customHeight="false" outlineLevel="0" collapsed="false">
      <c r="A5" s="29" t="s">
        <v>132</v>
      </c>
      <c r="B5" s="30" t="n">
        <f aca="false">Assumptions!B18*Assumptions!B17</f>
        <v>0.05225</v>
      </c>
    </row>
    <row r="6" customFormat="false" ht="15" hidden="false" customHeight="false" outlineLevel="0" collapsed="false">
      <c r="A6" s="26" t="s">
        <v>133</v>
      </c>
      <c r="B6" s="46" t="n">
        <f aca="false">B4+B5</f>
        <v>0.09425</v>
      </c>
    </row>
    <row r="7" customFormat="false" ht="15" hidden="false" customHeight="false" outlineLevel="0" collapsed="false">
      <c r="A7" s="29" t="s">
        <v>134</v>
      </c>
      <c r="B7" s="30" t="n">
        <f aca="false">Assumptions!B19*(1-Assumptions!B12)</f>
        <v>0.0468</v>
      </c>
    </row>
    <row r="8" customFormat="false" ht="15" hidden="false" customHeight="false" outlineLevel="0" collapsed="false">
      <c r="A8" s="29" t="s">
        <v>135</v>
      </c>
      <c r="B8" s="30" t="n">
        <f aca="false">1-Assumptions!B20</f>
        <v>0.8</v>
      </c>
    </row>
    <row r="9" customFormat="false" ht="15" hidden="false" customHeight="false" outlineLevel="0" collapsed="false">
      <c r="A9" s="29" t="s">
        <v>136</v>
      </c>
      <c r="B9" s="30" t="n">
        <f aca="false">Assumptions!B20</f>
        <v>0.2</v>
      </c>
    </row>
    <row r="10" customFormat="false" ht="15" hidden="false" customHeight="false" outlineLevel="0" collapsed="false">
      <c r="A10" s="26" t="s">
        <v>19</v>
      </c>
      <c r="B10" s="46" t="n">
        <f aca="false">B6*B8+B7*B9</f>
        <v>0.08476</v>
      </c>
    </row>
    <row r="11" customFormat="false" ht="15" hidden="false" customHeight="false" outlineLevel="0" collapsed="false">
      <c r="A11" s="29" t="s">
        <v>84</v>
      </c>
      <c r="B11" s="47" t="n">
        <f aca="false">Assumptions!B21</f>
        <v>0.02</v>
      </c>
    </row>
    <row r="13" customFormat="false" ht="15" hidden="false" customHeight="false" outlineLevel="0" collapsed="false">
      <c r="A13" s="32" t="s">
        <v>137</v>
      </c>
    </row>
    <row r="14" customFormat="false" ht="15" hidden="false" customHeight="false" outlineLevel="0" collapsed="false">
      <c r="A14" s="25"/>
      <c r="B14" s="25" t="s">
        <v>54</v>
      </c>
      <c r="C14" s="25" t="s">
        <v>55</v>
      </c>
      <c r="D14" s="25" t="s">
        <v>56</v>
      </c>
      <c r="E14" s="25" t="s">
        <v>138</v>
      </c>
    </row>
    <row r="15" customFormat="false" ht="15" hidden="false" customHeight="false" outlineLevel="0" collapsed="false">
      <c r="A15" s="29" t="s">
        <v>139</v>
      </c>
      <c r="B15" s="40" t="n">
        <f aca="false">'Cash Flow'!G10</f>
        <v>14.72772</v>
      </c>
      <c r="C15" s="40" t="n">
        <f aca="false">'Cash Flow'!H10</f>
        <v>15.2121627</v>
      </c>
      <c r="D15" s="40" t="n">
        <f aca="false">'Cash Flow'!I10</f>
        <v>15.788690883</v>
      </c>
      <c r="E15" s="38" t="n">
        <f aca="false">D15*(1+B11)/(B10-B11)</f>
        <v>248.679195501235</v>
      </c>
    </row>
    <row r="16" customFormat="false" ht="15" hidden="false" customHeight="false" outlineLevel="0" collapsed="false">
      <c r="A16" s="29" t="s">
        <v>140</v>
      </c>
      <c r="B16" s="48" t="n">
        <v>1</v>
      </c>
      <c r="C16" s="48" t="n">
        <v>2</v>
      </c>
      <c r="D16" s="48" t="n">
        <v>3</v>
      </c>
      <c r="E16" s="49" t="n">
        <f aca="false">D16</f>
        <v>3</v>
      </c>
    </row>
    <row r="17" customFormat="false" ht="15" hidden="false" customHeight="false" outlineLevel="0" collapsed="false">
      <c r="A17" s="29" t="s">
        <v>141</v>
      </c>
      <c r="B17" s="50" t="n">
        <f aca="false">1/(1+$B$10)^B16</f>
        <v>0.92186290054943</v>
      </c>
      <c r="C17" s="50" t="n">
        <f aca="false">1/(1+$B$10)^C16</f>
        <v>0.849831207409409</v>
      </c>
      <c r="D17" s="50" t="n">
        <f aca="false">1/(1+$B$10)^D16</f>
        <v>0.783427861839862</v>
      </c>
      <c r="E17" s="50" t="n">
        <f aca="false">1/(1+$B$10)^E16</f>
        <v>0.783427861839862</v>
      </c>
    </row>
    <row r="18" customFormat="false" ht="15" hidden="false" customHeight="false" outlineLevel="0" collapsed="false">
      <c r="A18" s="26" t="s">
        <v>142</v>
      </c>
      <c r="B18" s="43" t="n">
        <f aca="false">B15*B17</f>
        <v>13.5769386776799</v>
      </c>
      <c r="C18" s="43" t="n">
        <f aca="false">C15*C17</f>
        <v>12.9277705946494</v>
      </c>
      <c r="D18" s="43" t="n">
        <f aca="false">D15*D17</f>
        <v>12.3693003397192</v>
      </c>
      <c r="E18" s="43" t="n">
        <f aca="false">E15*E17</f>
        <v>194.82221041559</v>
      </c>
    </row>
    <row r="20" customFormat="false" ht="15" hidden="false" customHeight="false" outlineLevel="0" collapsed="false">
      <c r="A20" s="29" t="s">
        <v>143</v>
      </c>
      <c r="B20" s="38" t="n">
        <f aca="false">SUM(B18:D18)</f>
        <v>38.8740096120484</v>
      </c>
      <c r="D20" s="21" t="s">
        <v>144</v>
      </c>
    </row>
    <row r="21" customFormat="false" ht="15" hidden="false" customHeight="false" outlineLevel="0" collapsed="false">
      <c r="A21" s="29" t="s">
        <v>145</v>
      </c>
      <c r="B21" s="38" t="n">
        <f aca="false">E18</f>
        <v>194.82221041559</v>
      </c>
      <c r="D21" s="29" t="s">
        <v>146</v>
      </c>
      <c r="E21" s="51" t="n">
        <v>110</v>
      </c>
    </row>
    <row r="22" customFormat="false" ht="15" hidden="false" customHeight="false" outlineLevel="0" collapsed="false">
      <c r="A22" s="26" t="s">
        <v>9</v>
      </c>
      <c r="B22" s="52" t="n">
        <f aca="false">B20+B21</f>
        <v>233.696220027638</v>
      </c>
      <c r="D22" s="29" t="s">
        <v>147</v>
      </c>
      <c r="E22" s="51" t="n">
        <v>89</v>
      </c>
    </row>
    <row r="23" customFormat="false" ht="15" hidden="false" customHeight="false" outlineLevel="0" collapsed="false">
      <c r="A23" s="29" t="s">
        <v>148</v>
      </c>
      <c r="B23" s="38" t="n">
        <f aca="false">-Assumptions!B23</f>
        <v>-21.4</v>
      </c>
      <c r="D23" s="29" t="s">
        <v>149</v>
      </c>
      <c r="E23" s="53" t="n">
        <f aca="false">B27</f>
        <v>162.430160694444</v>
      </c>
    </row>
    <row r="24" customFormat="false" ht="15" hidden="false" customHeight="false" outlineLevel="0" collapsed="false">
      <c r="A24" s="26" t="s">
        <v>13</v>
      </c>
      <c r="B24" s="52" t="n">
        <f aca="false">B22+B23</f>
        <v>212.296220027638</v>
      </c>
      <c r="D24" s="29" t="s">
        <v>23</v>
      </c>
      <c r="E24" s="54" t="n">
        <f aca="false">B27/E21-1</f>
        <v>0.476637824494945</v>
      </c>
    </row>
    <row r="25" customFormat="false" ht="15" hidden="false" customHeight="false" outlineLevel="0" collapsed="false">
      <c r="A25" s="29" t="s">
        <v>150</v>
      </c>
      <c r="B25" s="55" t="n">
        <f aca="false">Assumptions!B22</f>
        <v>130.7</v>
      </c>
      <c r="D25" s="5" t="s">
        <v>151</v>
      </c>
    </row>
    <row r="26" customFormat="false" ht="15" hidden="false" customHeight="false" outlineLevel="0" collapsed="false">
      <c r="A26" s="26" t="s">
        <v>152</v>
      </c>
      <c r="B26" s="56" t="n">
        <f aca="false">B24/B25</f>
        <v>1.62430160694444</v>
      </c>
    </row>
    <row r="27" customFormat="false" ht="15" hidden="false" customHeight="false" outlineLevel="0" collapsed="false">
      <c r="A27" s="26" t="s">
        <v>153</v>
      </c>
      <c r="B27" s="57" t="n">
        <f aca="false">B26*100</f>
        <v>162.430160694444</v>
      </c>
    </row>
    <row r="28" customFormat="false" ht="15" hidden="false" customHeight="false" outlineLevel="0" collapsed="false">
      <c r="A28" s="29" t="s">
        <v>21</v>
      </c>
      <c r="B28" s="58" t="n">
        <f aca="false">B22/Assumptions!F5</f>
        <v>7.46633290823126</v>
      </c>
    </row>
    <row r="29" customFormat="false" ht="15" hidden="false" customHeight="false" outlineLevel="0" collapsed="false">
      <c r="A29" s="5" t="s">
        <v>154</v>
      </c>
    </row>
    <row r="32" customFormat="false" ht="15" hidden="false" customHeight="false" outlineLevel="0" collapsed="false">
      <c r="A32" s="32" t="s">
        <v>155</v>
      </c>
    </row>
    <row r="33" customFormat="false" ht="15" hidden="false" customHeight="false" outlineLevel="0" collapsed="false">
      <c r="A33" s="5" t="s">
        <v>156</v>
      </c>
    </row>
    <row r="34" customFormat="false" ht="15" hidden="false" customHeight="false" outlineLevel="0" collapsed="false">
      <c r="B34" s="26" t="s">
        <v>157</v>
      </c>
      <c r="C34" s="59" t="n">
        <v>0.015</v>
      </c>
      <c r="D34" s="59" t="n">
        <v>0.02</v>
      </c>
      <c r="E34" s="59" t="n">
        <v>0.025</v>
      </c>
    </row>
    <row r="35" customFormat="false" ht="15" hidden="false" customHeight="false" outlineLevel="0" collapsed="false">
      <c r="B35" s="60" t="n">
        <v>0.08</v>
      </c>
      <c r="C35" s="61" t="n">
        <f aca="false">($B$15/(1+$B35)^1+$C$15/(1+$B35)^2+$D$15/(1+$B35)^3+$D$15*(1+C$34)/($B35-C$34)/(1+$B35)^3-Assumptions!$B$23)/Assumptions!$B$22*100</f>
        <v>163.373276638467</v>
      </c>
      <c r="D35" s="61" t="n">
        <f aca="false">($B$15/(1+$B35)^1+$C$15/(1+$B35)^2+$D$15/(1+$B35)^3+$D$15*(1+D$34)/($B35-D$34)/(1+$B35)^3-Assumptions!$B$23)/Assumptions!$B$22*100</f>
        <v>176.651146898939</v>
      </c>
      <c r="E35" s="61" t="n">
        <f aca="false">($B$15/(1+$B35)^1+$C$15/(1+$B35)^2+$D$15/(1+$B35)^3+$D$15*(1+E$34)/($B35-E$34)/(1+$B35)^3-Assumptions!$B$23)/Assumptions!$B$22*100</f>
        <v>192.343175388588</v>
      </c>
    </row>
    <row r="36" customFormat="false" ht="15" hidden="false" customHeight="false" outlineLevel="0" collapsed="false">
      <c r="B36" s="60" t="n">
        <v>0.085</v>
      </c>
      <c r="C36" s="61" t="n">
        <f aca="false">($B$15/(1+$B36)^1+$C$15/(1+$B36)^2+$D$15/(1+$B36)^3+$D$15*(1+C$34)/($B36-C$34)/(1+$B36)^3-Assumptions!$B$23)/Assumptions!$B$22*100</f>
        <v>150.49192335866</v>
      </c>
      <c r="D36" s="61" t="n">
        <f aca="false">($B$15/(1+$B36)^1+$C$15/(1+$B36)^2+$D$15/(1+$B36)^3+$D$15*(1+D$34)/($B36-D$34)/(1+$B36)^3-Assumptions!$B$23)/Assumptions!$B$22*100</f>
        <v>161.768302401493</v>
      </c>
      <c r="E36" s="61" t="n">
        <f aca="false">($B$15/(1+$B36)^1+$C$15/(1+$B36)^2+$D$15/(1+$B36)^3+$D$15*(1+E$34)/($B36-E$34)/(1+$B36)^3-Assumptions!$B$23)/Assumptions!$B$22*100</f>
        <v>174.924077951464</v>
      </c>
    </row>
    <row r="37" customFormat="false" ht="15" hidden="false" customHeight="false" outlineLevel="0" collapsed="false">
      <c r="B37" s="60" t="n">
        <v>0.09</v>
      </c>
      <c r="C37" s="61" t="n">
        <f aca="false">($B$15/(1+$B37)^1+$C$15/(1+$B37)^2+$D$15/(1+$B37)^3+$D$15*(1+C$34)/($B37-C$34)/(1+$B37)^3-Assumptions!$B$23)/Assumptions!$B$22*100</f>
        <v>139.328573734935</v>
      </c>
      <c r="D37" s="61" t="n">
        <f aca="false">($B$15/(1+$B37)^1+$C$15/(1+$B37)^2+$D$15/(1+$B37)^3+$D$15*(1+D$34)/($B37-D$34)/(1+$B37)^3-Assumptions!$B$23)/Assumptions!$B$22*100</f>
        <v>149.011981929704</v>
      </c>
      <c r="E37" s="61" t="n">
        <f aca="false">($B$15/(1+$B37)^1+$C$15/(1+$B37)^2+$D$15/(1+$B37)^3+$D$15*(1+E$34)/($B37-E$34)/(1+$B37)^3-Assumptions!$B$23)/Assumptions!$B$22*100</f>
        <v>160.18514523136</v>
      </c>
    </row>
    <row r="38" customFormat="false" ht="15" hidden="false" customHeight="false" outlineLevel="0" collapsed="false">
      <c r="B38" s="60" t="n">
        <v>0.095</v>
      </c>
      <c r="C38" s="61" t="n">
        <f aca="false">($B$15/(1+$B38)^1+$C$15/(1+$B38)^2+$D$15/(1+$B38)^3+$D$15*(1+C$34)/($B38-C$34)/(1+$B38)^3-Assumptions!$B$23)/Assumptions!$B$22*100</f>
        <v>129.561094158897</v>
      </c>
      <c r="D38" s="61" t="n">
        <f aca="false">($B$15/(1+$B38)^1+$C$15/(1+$B38)^2+$D$15/(1+$B38)^3+$D$15*(1+D$34)/($B38-D$34)/(1+$B38)^3-Assumptions!$B$23)/Assumptions!$B$22*100</f>
        <v>137.956874160715</v>
      </c>
      <c r="E38" s="61" t="n">
        <f aca="false">($B$15/(1+$B38)^1+$C$15/(1+$B38)^2+$D$15/(1+$B38)^3+$D$15*(1+E$34)/($B38-E$34)/(1+$B38)^3-Assumptions!$B$23)/Assumptions!$B$22*100</f>
        <v>147.552051305649</v>
      </c>
    </row>
    <row r="39" customFormat="false" ht="15" hidden="false" customHeight="false" outlineLevel="0" collapsed="false">
      <c r="B39" s="60" t="n">
        <v>0.1</v>
      </c>
      <c r="C39" s="61" t="n">
        <f aca="false">($B$15/(1+$B39)^1+$C$15/(1+$B39)^2+$D$15/(1+$B39)^3+$D$15*(1+C$34)/($B39-C$34)/(1+$B39)^3-Assumptions!$B$23)/Assumptions!$B$22*100</f>
        <v>120.943147328677</v>
      </c>
      <c r="D39" s="61" t="n">
        <f aca="false">($B$15/(1+$B39)^1+$C$15/(1+$B39)^2+$D$15/(1+$B39)^3+$D$15*(1+D$34)/($B39-D$34)/(1+$B39)^3-Assumptions!$B$23)/Assumptions!$B$22*100</f>
        <v>128.283995736562</v>
      </c>
      <c r="E39" s="61" t="n">
        <f aca="false">($B$15/(1+$B39)^1+$C$15/(1+$B39)^2+$D$15/(1+$B39)^3+$D$15*(1+E$34)/($B39-E$34)/(1+$B39)^3-Assumptions!$B$23)/Assumptions!$B$22*100</f>
        <v>136.603623932164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2026-06-30T01:05:32Z</dcterms:created>
  <dc:creator>openpyxl</dc:creator>
  <dc:description/>
  <dc:language>en-US</dc:language>
  <cp:lastModifiedBy/>
  <dcterms:modified xsi:type="dcterms:W3CDTF">2026-06-30T01:05:34Z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