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Variance Analysis" sheetId="3" state="visible" r:id="rId5"/>
    <sheet name="Quarterly Tracker" sheetId="4" state="visible" r:id="rId6"/>
  </sheets>
  <definedNames>
    <definedName function="false" hidden="false" localSheetId="0" name="_xlnm.Print_Area" vbProcedure="false">Dashboard!$A$1:$T$40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JT</author>
  </authors>
  <commentList>
    <comment ref="B4" authorId="0">
      <text>
        <r>
          <rPr>
            <sz val="10"/>
            <rFont val="Arial"/>
            <family val="2"/>
          </rPr>
          <t xml:space="preserve">Actuals derived from Finsbury Food Group FY2023 reported results (revenue GBP 413.7m, gross margin 30.0%, adjusted EBITDA GBP 31.3m). Plan/budget and quarterly phasing are analyst-constructed to demonstrate FP&amp;A variance methodology - companies do not publish internal budgets.</t>
        </r>
      </text>
    </comment>
  </commentList>
</comments>
</file>

<file path=xl/sharedStrings.xml><?xml version="1.0" encoding="utf-8"?>
<sst xmlns="http://schemas.openxmlformats.org/spreadsheetml/2006/main" count="86" uniqueCount="63">
  <si>
    <t xml:space="preserve">FINSBURY FOOD GROUP  -  FP&amp;A: Budget vs Actual (FY2023)</t>
  </si>
  <si>
    <t xml:space="preserve">Line</t>
  </si>
  <si>
    <t xml:space="preserve">Plan</t>
  </si>
  <si>
    <t xml:space="preserve">Actual</t>
  </si>
  <si>
    <t xml:space="preserve">Variance pack  |  Prepared by Jewel Thomas  |  GBP millions  |  Actuals per reported FY2023; plan analyst-constructed</t>
  </si>
  <si>
    <t xml:space="preserve">Revenue</t>
  </si>
  <si>
    <t xml:space="preserve">Gross profit</t>
  </si>
  <si>
    <t xml:space="preserve">REVENUE vs PLAN</t>
  </si>
  <si>
    <t xml:space="preserve">ADJ. EBITDA vs PLAN</t>
  </si>
  <si>
    <t xml:space="preserve">EBITDA VARIANCE</t>
  </si>
  <si>
    <t xml:space="preserve">GROSS MARGIN vs PLAN</t>
  </si>
  <si>
    <t xml:space="preserve">Adj EBITDA</t>
  </si>
  <si>
    <t xml:space="preserve">Plan EBITDA</t>
  </si>
  <si>
    <t xml:space="preserve">BUDGET vs ACTUAL BY P&amp;L LINE (GBP m)</t>
  </si>
  <si>
    <t xml:space="preserve">EBITDA BRIDGE: PLAN -&gt; ACTUAL (GBP m)</t>
  </si>
  <si>
    <t xml:space="preserve">Volume (F)</t>
  </si>
  <si>
    <t xml:space="preserve">Margin (A)</t>
  </si>
  <si>
    <t xml:space="preserve">Overheads (F)</t>
  </si>
  <si>
    <t xml:space="preserve">Actual EBITDA</t>
  </si>
  <si>
    <t xml:space="preserve">VARIANCE SUMMARY (Actual vs Plan, FY2023)</t>
  </si>
  <si>
    <t xml:space="preserve">P&amp;L line</t>
  </si>
  <si>
    <t xml:space="preserve">Var (GBP m)</t>
  </si>
  <si>
    <t xml:space="preserve">F/A</t>
  </si>
  <si>
    <t xml:space="preserve">Adjusted EBITDA</t>
  </si>
  <si>
    <t xml:space="preserve">Adjusted EBIT</t>
  </si>
  <si>
    <t xml:space="preserve">Revenue beat plan, but margin missed on cost inflation; overhead control carried EBITDA ahead of plan. Full detail on Variance Analysis tab.</t>
  </si>
  <si>
    <t xml:space="preserve">FINSBURY FOOD GROUP - FP&amp;A PACK</t>
  </si>
  <si>
    <t xml:space="preserve">Budget vs Actual Variance Analysis &amp; KPI Dashboard</t>
  </si>
  <si>
    <t xml:space="preserve">Prepared by Jewel Thomas  |  Portfolio analysis  |  GBP millions unless stated  |  FY2023</t>
  </si>
  <si>
    <t xml:space="preserve">PURPOSE</t>
  </si>
  <si>
    <t xml:space="preserve">A financial planning &amp; analysis (FP&amp;A) pack: comparing a financial plan (budget) against actual results, quantifying the variance on every P&amp;L line, splitting the profit miss/beat into its drivers, and tracking the year quarter by quarter - the core monthly job of a commercial finance / FP&amp;A analyst.</t>
  </si>
  <si>
    <t xml:space="preserve">THE STORY IT TELLS</t>
  </si>
  <si>
    <t xml:space="preserve">Revenue beat plan (+GBP 8.7m, +2.1%), but gross margin came in 1.5pp below plan on input-cost inflation - a GBP 6.2m adverse rate variance. Tight overhead control (+GBP 4.3m favourable) more than offset this, so adjusted EBITDA still finished GBP 0.8m ahead of plan. The lesson a business partner would flag: the beat was earned on cost discipline, not margin - watch pricing.</t>
  </si>
  <si>
    <t xml:space="preserve">DATA INTEGRITY</t>
  </si>
  <si>
    <t xml:space="preserve">Actuals are anchored to Finsbury's reported FY2023 figures. The plan/budget and the quarterly phasing are analyst-constructed, clearly flagged, and exist to demonstrate the variance technique - not to represent Finsbury's real internal budget (which is not public). Plan inputs are blue and editable on the Variance Analysis tab.</t>
  </si>
  <si>
    <t xml:space="preserve">HOW TO READ IT</t>
  </si>
  <si>
    <t xml:space="preserve">'Dashboard' = one-page summary with KPI variances and the EBITDA bridge. 'Variance Analysis' = full plan-vs-actual by line with favourable/adverse flags. 'Quarterly Tracker' = phased budget-vs-actual through the year.</t>
  </si>
  <si>
    <t xml:space="preserve">METHOD NOTE</t>
  </si>
  <si>
    <t xml:space="preserve">Gross-profit variance is decomposed into a volume effect (extra revenue at plan margin) and a rate effect (margin change on actual revenue) - the standard FP&amp;A split that separates 'we sold more' from 'we earned less on each sale'.</t>
  </si>
  <si>
    <t xml:space="preserve">SOURCE</t>
  </si>
  <si>
    <t xml:space="preserve">Actuals derived from Finsbury Food Group FY2023 reported results (revenue GBP 413.7m, gross margin 30.0%, adjusted EBITDA GBP 31.3m). Plan/budget and quarterly phasing are analyst-constructed to demonstrate FP&amp;A variance methodology - companies do not publish internal budgets.</t>
  </si>
  <si>
    <t xml:space="preserve">DISCLAIMER</t>
  </si>
  <si>
    <t xml:space="preserve">For portfolio / educational purposes only. Not investment advice; not affiliated with or endorsed by Finsbury Food Group.</t>
  </si>
  <si>
    <t xml:space="preserve">BUDGET vs ACTUAL - FY2023 (GBP m)</t>
  </si>
  <si>
    <t xml:space="preserve">Var %</t>
  </si>
  <si>
    <t xml:space="preserve">Cost of sales</t>
  </si>
  <si>
    <t xml:space="preserve">Overheads (excl. D&amp;A)</t>
  </si>
  <si>
    <t xml:space="preserve">Depreciation &amp; amortisation</t>
  </si>
  <si>
    <t xml:space="preserve">Gross margin %</t>
  </si>
  <si>
    <t xml:space="preserve">EBITDA margin %</t>
  </si>
  <si>
    <t xml:space="preserve">Plan figures (blue) are editable - change them and all variances, the bridge and the dashboard update.</t>
  </si>
  <si>
    <t xml:space="preserve">Volume / revenue (F)</t>
  </si>
  <si>
    <t xml:space="preserve">Gross margin rate (A)</t>
  </si>
  <si>
    <t xml:space="preserve">Overhead control (F)</t>
  </si>
  <si>
    <t xml:space="preserve">QUARTERLY BUDGET vs ACTUAL - FY2023 (illustrative phasing)</t>
  </si>
  <si>
    <t xml:space="preserve">GBP m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</si>
  <si>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</si>
  <si>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</si>
  <si>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</si>
  <si>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</si>
  <si>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</si>
  <si>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Variance</t>
  </si>
  <si>
    <t xml:space="preserve">Quarterly split is an illustrative seasonal phasing (H2-weighted) of the FY plan and actual. For methodology demonstration only.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</si>
</sst>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;\(#,##0.0\);\-"/>
    <numFmt numFmtId="166" formatCode="#,##0.0\m"/>
    <numFmt numFmtId="167" formatCode="\+0.0\m;\-0.0\m"/>
    <numFmt numFmtId="168" formatCode="0.0%"/>
    <numFmt numFmtId="169" formatCode="\+0.0%&quot; vs plan&quot;;\-0.0%&quot; vs plan&quot;"/>
    <numFmt numFmtId="170" formatCode="\+0.0&quot; m fav&quot;;\-0.0&quot; m adv&quot;"/>
    <numFmt numFmtId="171" formatCode="\+0.0%;\-0.0%"/>
    <numFmt numFmtId="172" formatCode="\+0.0%&quot; pts&quot;;\-0.0%&quot; pts&quot;"/>
    <numFmt numFmtId="173" formatCode="0.0%;\(0.0%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8"/>
      <color rgb="FF6B7892"/>
      <name val="Arial"/>
      <family val="0"/>
      <charset val="1"/>
    </font>
    <font>
      <i val="true"/>
      <sz val="9"/>
      <color rgb="FF6B7892"/>
      <name val="Arial"/>
      <family val="0"/>
      <charset val="1"/>
    </font>
    <font>
      <b val="true"/>
      <sz val="8"/>
      <color rgb="FF6B7892"/>
      <name val="Arial"/>
      <family val="0"/>
      <charset val="1"/>
    </font>
    <font>
      <b val="true"/>
      <sz val="8"/>
      <color rgb="FF9FB2CC"/>
      <name val="Arial"/>
      <family val="0"/>
      <charset val="1"/>
    </font>
    <font>
      <b val="true"/>
      <sz val="18"/>
      <color rgb="FF11203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1E8E63"/>
      <name val="Arial"/>
      <family val="0"/>
      <charset val="1"/>
    </font>
    <font>
      <b val="true"/>
      <sz val="9"/>
      <color rgb="FF69C7BD"/>
      <name val="Arial"/>
      <family val="0"/>
      <charset val="1"/>
    </font>
    <font>
      <b val="true"/>
      <sz val="9"/>
      <color rgb="FFC4452F"/>
      <name val="Arial"/>
      <family val="0"/>
      <charset val="1"/>
    </font>
    <font>
      <b val="true"/>
      <sz val="9"/>
      <color rgb="FF0F1B2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F1B2D"/>
      <name val="Arial"/>
      <family val="0"/>
      <charset val="1"/>
    </font>
    <font>
      <b val="true"/>
      <sz val="12"/>
      <color rgb="FF1F6F6B"/>
      <name val="Arial"/>
      <family val="0"/>
      <charset val="1"/>
    </font>
    <font>
      <b val="true"/>
      <sz val="10"/>
      <color rgb="FF0F1B2D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B2D"/>
        <bgColor rgb="FF11203A"/>
      </patternFill>
    </fill>
    <fill>
      <patternFill patternType="solid">
        <fgColor rgb="FFFFFFFF"/>
        <bgColor rgb="FFF9F9F9"/>
      </patternFill>
    </fill>
    <fill>
      <patternFill patternType="solid">
        <fgColor rgb="FFEEF2F8"/>
        <bgColor rgb="FFEEF2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7ECF3"/>
      </left>
      <right style="thin">
        <color rgb="FFE7ECF3"/>
      </right>
      <top style="thin">
        <color rgb="FFE7ECF3"/>
      </top>
      <bottom style="thin">
        <color rgb="FFE7ECF3"/>
      </bottom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  <border diagonalUp="false" diagonalDown="false">
      <left/>
      <right/>
      <top/>
      <bottom style="thin">
        <color rgb="FFEEF2F7"/>
      </bottom>
      <diagonal/>
    </border>
    <border diagonalUp="false" diagonalDown="false">
      <left/>
      <right/>
      <top style="thin">
        <color rgb="FF33415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71" fontId="12" fillId="2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72" fontId="13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9FB2CC"/>
      <rgbColor rgb="FF878787"/>
      <rgbColor rgb="FF9999FF"/>
      <rgbColor rgb="FF993366"/>
      <rgbColor rgb="FFF9F9F9"/>
      <rgbColor rgb="FFE7ECF3"/>
      <rgbColor rgb="FF660066"/>
      <rgbColor rgb="FFFF8080"/>
      <rgbColor rgb="FF2B5FB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EEF2F7"/>
      <rgbColor rgb="FFFFFF99"/>
      <rgbColor rgb="FF99CCFF"/>
      <rgbColor rgb="FFFF99CC"/>
      <rgbColor rgb="FFCC99FF"/>
      <rgbColor rgb="FFD9E0EA"/>
      <rgbColor rgb="FF3366FF"/>
      <rgbColor rgb="FF69C7BD"/>
      <rgbColor rgb="FF99CC00"/>
      <rgbColor rgb="FFFFCC00"/>
      <rgbColor rgb="FFFF9900"/>
      <rgbColor rgb="FFFF6600"/>
      <rgbColor rgb="FF6B7892"/>
      <rgbColor rgb="FF969696"/>
      <rgbColor rgb="FF11203A"/>
      <rgbColor rgb="FF1E8E63"/>
      <rgbColor rgb="FF0F1B2D"/>
      <rgbColor rgb="FF333300"/>
      <rgbColor rgb="FFC4452F"/>
      <rgbColor rgb="FF993366"/>
      <rgbColor rgb="FF333399"/>
      <rgbColor rgb="FF3341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Dashboard!Y2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9FB2C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Dashboard!$X$3:$X$5</c:f>
              <c:strCache>
                <c:ptCount val="3"/>
                <c:pt idx="0">
                  <c:v>Revenue</c:v>
                </c:pt>
                <c:pt idx="1">
                  <c:v>Gross profit</c:v>
                </c:pt>
                <c:pt idx="2">
                  <c:v>Adj EBITDA</c:v>
                </c:pt>
              </c:strCache>
            </c:strRef>
          </c:cat>
          <c:val>
            <c:numRef>
              <c:f>Dashboard!$Y$3:$Y$5</c:f>
              <c:numCache>
                <c:formatCode>#,##0.0;\(#,##0.0\);\-</c:formatCode>
                <c:ptCount val="3"/>
                <c:pt idx="0">
                  <c:v>405</c:v>
                </c:pt>
                <c:pt idx="1">
                  <c:v>127.6</c:v>
                </c:pt>
                <c:pt idx="2">
                  <c:v>30.5</c:v>
                </c:pt>
              </c:numCache>
            </c:numRef>
          </c:val>
        </c:ser>
        <c:ser>
          <c:idx val="1"/>
          <c:order val="1"/>
          <c:tx>
            <c:strRef>
              <c:f>Dashboard!Z2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F6F6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Dashboard!$X$3:$X$5</c:f>
              <c:strCache>
                <c:ptCount val="3"/>
                <c:pt idx="0">
                  <c:v>Revenue</c:v>
                </c:pt>
                <c:pt idx="1">
                  <c:v>Gross profit</c:v>
                </c:pt>
                <c:pt idx="2">
                  <c:v>Adj EBITDA</c:v>
                </c:pt>
              </c:strCache>
            </c:strRef>
          </c:cat>
          <c:val>
            <c:numRef>
              <c:f>Dashboard!$Z$3:$Z$5</c:f>
              <c:numCache>
                <c:formatCode>#,##0.0;\(#,##0.0\);\-</c:formatCode>
                <c:ptCount val="3"/>
                <c:pt idx="0">
                  <c:v>413.7</c:v>
                </c:pt>
                <c:pt idx="1">
                  <c:v>124.1</c:v>
                </c:pt>
                <c:pt idx="2">
                  <c:v>31.3</c:v>
                </c:pt>
              </c:numCache>
            </c:numRef>
          </c:val>
        </c:ser>
        <c:gapWidth val="150"/>
        <c:overlap val="0"/>
        <c:axId val="32590517"/>
        <c:axId val="80140789"/>
      </c:barChart>
      <c:catAx>
        <c:axId val="32590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140789"/>
        <c:crosses val="autoZero"/>
        <c:auto val="1"/>
        <c:lblAlgn val="ctr"/>
        <c:lblOffset val="100"/>
        <c:noMultiLvlLbl val="0"/>
      </c:catAx>
      <c:valAx>
        <c:axId val="80140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GBP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90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B5FB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Dashboard!$X$8:$X$12</c:f>
              <c:strCache>
                <c:ptCount val="5"/>
                <c:pt idx="0">
                  <c:v>Plan EBITDA</c:v>
                </c:pt>
                <c:pt idx="1">
                  <c:v>Volume (F)</c:v>
                </c:pt>
                <c:pt idx="2">
                  <c:v>Margin (A)</c:v>
                </c:pt>
                <c:pt idx="3">
                  <c:v>Overheads (F)</c:v>
                </c:pt>
                <c:pt idx="4">
                  <c:v>Actual EBITDA</c:v>
                </c:pt>
              </c:strCache>
            </c:strRef>
          </c:cat>
          <c:val>
            <c:numRef>
              <c:f>Dashboard!$Y$8:$Y$12</c:f>
              <c:numCache>
                <c:formatCode>#,##0.0;\(#,##0.0\);\-</c:formatCode>
                <c:ptCount val="5"/>
                <c:pt idx="0">
                  <c:v>30.5</c:v>
                </c:pt>
                <c:pt idx="1">
                  <c:v>2.74103703703703</c:v>
                </c:pt>
                <c:pt idx="2">
                  <c:v>-6.24103703703711</c:v>
                </c:pt>
                <c:pt idx="3">
                  <c:v>4.3</c:v>
                </c:pt>
                <c:pt idx="4">
                  <c:v>31.3</c:v>
                </c:pt>
              </c:numCache>
            </c:numRef>
          </c:val>
        </c:ser>
        <c:gapWidth val="150"/>
        <c:overlap val="0"/>
        <c:axId val="8427061"/>
        <c:axId val="18400693"/>
      </c:barChart>
      <c:catAx>
        <c:axId val="84270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00693"/>
        <c:crosses val="autoZero"/>
        <c:auto val="1"/>
        <c:lblAlgn val="ctr"/>
        <c:lblOffset val="100"/>
        <c:noMultiLvlLbl val="0"/>
      </c:catAx>
      <c:valAx>
        <c:axId val="18400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GBP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70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8</xdr:col>
      <xdr:colOff>321480</xdr:colOff>
      <xdr:row>23</xdr:row>
      <xdr:rowOff>68400</xdr:rowOff>
    </xdr:to>
    <xdr:graphicFrame>
      <xdr:nvGraphicFramePr>
        <xdr:cNvPr id="1" name="Chart 1"/>
        <xdr:cNvGraphicFramePr/>
      </xdr:nvGraphicFramePr>
      <xdr:xfrm>
        <a:off x="648360" y="2019240"/>
        <a:ext cx="48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15</xdr:col>
      <xdr:colOff>429480</xdr:colOff>
      <xdr:row>23</xdr:row>
      <xdr:rowOff>68400</xdr:rowOff>
    </xdr:to>
    <xdr:graphicFrame>
      <xdr:nvGraphicFramePr>
        <xdr:cNvPr id="2" name="Chart 2"/>
        <xdr:cNvGraphicFramePr/>
      </xdr:nvGraphicFramePr>
      <xdr:xfrm>
        <a:off x="5834880" y="2019240"/>
        <a:ext cx="43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0" width="9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X2" s="2" t="s">
        <v>1</v>
      </c>
      <c r="Y2" s="3" t="s">
        <v>2</v>
      </c>
      <c r="Z2" s="3" t="s">
        <v>3</v>
      </c>
    </row>
    <row r="3" customFormat="false" ht="15" hidden="false" customHeight="false" outlineLevel="0" collapsed="false">
      <c r="B3" s="4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X3" s="2" t="s">
        <v>5</v>
      </c>
      <c r="Y3" s="3" t="n">
        <f aca="false">'Variance Analysis'!B4</f>
        <v>405</v>
      </c>
      <c r="Z3" s="3" t="n">
        <f aca="false">'Variance Analysis'!C4</f>
        <v>413.7</v>
      </c>
    </row>
    <row r="4" customFormat="false" ht="15" hidden="false" customHeight="false" outlineLevel="0" collapsed="false">
      <c r="X4" s="2" t="s">
        <v>6</v>
      </c>
      <c r="Y4" s="3" t="n">
        <f aca="false">'Variance Analysis'!B6</f>
        <v>127.6</v>
      </c>
      <c r="Z4" s="3" t="n">
        <f aca="false">'Variance Analysis'!C6</f>
        <v>124.1</v>
      </c>
    </row>
    <row r="5" customFormat="false" ht="15" hidden="false" customHeight="false" outlineLevel="0" collapsed="false">
      <c r="B5" s="5" t="s">
        <v>7</v>
      </c>
      <c r="C5" s="5"/>
      <c r="D5" s="5"/>
      <c r="F5" s="5" t="s">
        <v>8</v>
      </c>
      <c r="G5" s="5"/>
      <c r="H5" s="5"/>
      <c r="J5" s="6" t="s">
        <v>9</v>
      </c>
      <c r="K5" s="6"/>
      <c r="L5" s="6"/>
      <c r="N5" s="5" t="s">
        <v>10</v>
      </c>
      <c r="O5" s="5"/>
      <c r="P5" s="5"/>
      <c r="X5" s="2" t="s">
        <v>11</v>
      </c>
      <c r="Y5" s="3" t="n">
        <f aca="false">'Variance Analysis'!B8</f>
        <v>30.5</v>
      </c>
      <c r="Z5" s="3" t="n">
        <f aca="false">'Variance Analysis'!C8</f>
        <v>31.3</v>
      </c>
    </row>
    <row r="6" customFormat="false" ht="24" hidden="false" customHeight="true" outlineLevel="0" collapsed="false">
      <c r="B6" s="7" t="n">
        <f aca="false">'Variance Analysis'!C4</f>
        <v>413.7</v>
      </c>
      <c r="C6" s="7"/>
      <c r="D6" s="7"/>
      <c r="F6" s="7" t="n">
        <f aca="false">'Variance Analysis'!C8</f>
        <v>31.3</v>
      </c>
      <c r="G6" s="7"/>
      <c r="H6" s="7"/>
      <c r="J6" s="8" t="n">
        <f aca="false">'Variance Analysis'!D8</f>
        <v>0.79999999999994</v>
      </c>
      <c r="K6" s="8"/>
      <c r="L6" s="8"/>
      <c r="N6" s="9" t="n">
        <f aca="false">'Variance Analysis'!C12</f>
        <v>0.29997582789461</v>
      </c>
      <c r="O6" s="9"/>
      <c r="P6" s="9"/>
    </row>
    <row r="7" customFormat="false" ht="15" hidden="false" customHeight="false" outlineLevel="0" collapsed="false">
      <c r="B7" s="10" t="n">
        <f aca="false">'Variance Analysis'!E4</f>
        <v>0.0214814814814815</v>
      </c>
      <c r="C7" s="10"/>
      <c r="D7" s="10"/>
      <c r="F7" s="11" t="n">
        <f aca="false">'Variance Analysis'!D8</f>
        <v>0.79999999999994</v>
      </c>
      <c r="G7" s="11"/>
      <c r="H7" s="11"/>
      <c r="J7" s="12" t="n">
        <f aca="false">'Variance Analysis'!E8</f>
        <v>0.0262295081967193</v>
      </c>
      <c r="K7" s="12"/>
      <c r="L7" s="12"/>
      <c r="N7" s="13" t="n">
        <f aca="false">'Variance Analysis'!D12</f>
        <v>-0.0150859005004523</v>
      </c>
      <c r="O7" s="13"/>
      <c r="P7" s="13"/>
    </row>
    <row r="8" customFormat="false" ht="15" hidden="false" customHeight="false" outlineLevel="0" collapsed="false">
      <c r="X8" s="2" t="s">
        <v>12</v>
      </c>
      <c r="Y8" s="3" t="n">
        <f aca="false">'Variance Analysis'!B18</f>
        <v>30.5</v>
      </c>
    </row>
    <row r="9" customFormat="false" ht="15" hidden="false" customHeight="false" outlineLevel="0" collapsed="false">
      <c r="B9" s="14" t="s">
        <v>13</v>
      </c>
      <c r="J9" s="14" t="s">
        <v>14</v>
      </c>
      <c r="X9" s="2" t="s">
        <v>15</v>
      </c>
      <c r="Y9" s="3" t="n">
        <f aca="false">'Variance Analysis'!B19</f>
        <v>2.74103703703703</v>
      </c>
    </row>
    <row r="10" customFormat="false" ht="15" hidden="false" customHeight="false" outlineLevel="0" collapsed="false">
      <c r="X10" s="2" t="s">
        <v>16</v>
      </c>
      <c r="Y10" s="3" t="n">
        <f aca="false">'Variance Analysis'!B20</f>
        <v>-6.24103703703711</v>
      </c>
    </row>
    <row r="11" customFormat="false" ht="15" hidden="false" customHeight="false" outlineLevel="0" collapsed="false">
      <c r="X11" s="2" t="s">
        <v>17</v>
      </c>
      <c r="Y11" s="3" t="n">
        <f aca="false">'Variance Analysis'!B21</f>
        <v>4.3</v>
      </c>
    </row>
    <row r="12" customFormat="false" ht="15" hidden="false" customHeight="false" outlineLevel="0" collapsed="false">
      <c r="X12" s="2" t="s">
        <v>18</v>
      </c>
      <c r="Y12" s="3" t="n">
        <f aca="false">'Variance Analysis'!B22</f>
        <v>31.3</v>
      </c>
    </row>
    <row r="27" customFormat="false" ht="15" hidden="false" customHeight="false" outlineLevel="0" collapsed="false">
      <c r="B27" s="14" t="s">
        <v>19</v>
      </c>
    </row>
    <row r="28" customFormat="false" ht="15" hidden="false" customHeight="false" outlineLevel="0" collapsed="false">
      <c r="B28" s="15" t="s">
        <v>20</v>
      </c>
      <c r="C28" s="16" t="s">
        <v>2</v>
      </c>
      <c r="D28" s="16" t="s">
        <v>3</v>
      </c>
      <c r="E28" s="16" t="s">
        <v>21</v>
      </c>
      <c r="F28" s="16" t="s">
        <v>22</v>
      </c>
    </row>
    <row r="29" customFormat="false" ht="15" hidden="false" customHeight="false" outlineLevel="0" collapsed="false">
      <c r="B29" s="17" t="s">
        <v>5</v>
      </c>
      <c r="C29" s="18" t="n">
        <f aca="false">'Variance Analysis'!B4</f>
        <v>405</v>
      </c>
      <c r="D29" s="18" t="n">
        <f aca="false">'Variance Analysis'!C4</f>
        <v>413.7</v>
      </c>
      <c r="E29" s="19" t="n">
        <f aca="false">'Variance Analysis'!D4</f>
        <v>8.69999999999999</v>
      </c>
      <c r="F29" s="20" t="str">
        <f aca="false">'Variance Analysis'!F4</f>
        <v>Favourable</v>
      </c>
    </row>
    <row r="30" customFormat="false" ht="15" hidden="false" customHeight="false" outlineLevel="0" collapsed="false">
      <c r="B30" s="17" t="s">
        <v>6</v>
      </c>
      <c r="C30" s="18" t="n">
        <f aca="false">'Variance Analysis'!B6</f>
        <v>127.6</v>
      </c>
      <c r="D30" s="18" t="n">
        <f aca="false">'Variance Analysis'!C6</f>
        <v>124.1</v>
      </c>
      <c r="E30" s="19" t="n">
        <f aca="false">'Variance Analysis'!D6</f>
        <v>-3.50000000000006</v>
      </c>
      <c r="F30" s="20" t="str">
        <f aca="false">'Variance Analysis'!F6</f>
        <v>Adverse</v>
      </c>
    </row>
    <row r="31" customFormat="false" ht="15" hidden="false" customHeight="false" outlineLevel="0" collapsed="false">
      <c r="B31" s="17" t="s">
        <v>23</v>
      </c>
      <c r="C31" s="18" t="n">
        <f aca="false">'Variance Analysis'!B8</f>
        <v>30.5</v>
      </c>
      <c r="D31" s="18" t="n">
        <f aca="false">'Variance Analysis'!C8</f>
        <v>31.3</v>
      </c>
      <c r="E31" s="19" t="n">
        <f aca="false">'Variance Analysis'!D8</f>
        <v>0.79999999999994</v>
      </c>
      <c r="F31" s="20" t="str">
        <f aca="false">'Variance Analysis'!F8</f>
        <v>Favourable</v>
      </c>
    </row>
    <row r="32" customFormat="false" ht="15" hidden="false" customHeight="false" outlineLevel="0" collapsed="false">
      <c r="B32" s="17" t="s">
        <v>24</v>
      </c>
      <c r="C32" s="18" t="n">
        <f aca="false">'Variance Analysis'!B10</f>
        <v>20</v>
      </c>
      <c r="D32" s="18" t="n">
        <f aca="false">'Variance Analysis'!C10</f>
        <v>20.5</v>
      </c>
      <c r="E32" s="19" t="n">
        <f aca="false">'Variance Analysis'!D10</f>
        <v>0.49999999999994</v>
      </c>
      <c r="F32" s="20" t="str">
        <f aca="false">'Variance Analysis'!F10</f>
        <v>Favourable</v>
      </c>
    </row>
    <row r="34" customFormat="false" ht="15" hidden="false" customHeight="false" outlineLevel="0" collapsed="false">
      <c r="B34" s="2" t="s">
        <v>25</v>
      </c>
    </row>
  </sheetData>
  <mergeCells count="14">
    <mergeCell ref="B2:Q2"/>
    <mergeCell ref="B3:Q3"/>
    <mergeCell ref="B5:D5"/>
    <mergeCell ref="F5:H5"/>
    <mergeCell ref="J5:L5"/>
    <mergeCell ref="N5:P5"/>
    <mergeCell ref="B6:D6"/>
    <mergeCell ref="F6:H6"/>
    <mergeCell ref="J6:L6"/>
    <mergeCell ref="N6:P6"/>
    <mergeCell ref="B7:D7"/>
    <mergeCell ref="F7:H7"/>
    <mergeCell ref="J7:L7"/>
    <mergeCell ref="N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</cols>
  <sheetData>
    <row r="2" customFormat="false" ht="22.05" hidden="false" customHeight="false" outlineLevel="0" collapsed="false">
      <c r="B2" s="21" t="s">
        <v>26</v>
      </c>
    </row>
    <row r="3" customFormat="false" ht="15" hidden="false" customHeight="false" outlineLevel="0" collapsed="false">
      <c r="B3" s="22" t="s">
        <v>27</v>
      </c>
    </row>
    <row r="4" customFormat="false" ht="15" hidden="false" customHeight="false" outlineLevel="0" collapsed="false">
      <c r="B4" s="2" t="s">
        <v>28</v>
      </c>
    </row>
    <row r="6" customFormat="false" ht="15" hidden="false" customHeight="false" outlineLevel="0" collapsed="false">
      <c r="B6" s="23" t="s">
        <v>29</v>
      </c>
    </row>
    <row r="7" customFormat="false" ht="55.5" hidden="false" customHeight="true" outlineLevel="0" collapsed="false">
      <c r="B7" s="24" t="s">
        <v>30</v>
      </c>
    </row>
    <row r="9" customFormat="false" ht="15" hidden="false" customHeight="false" outlineLevel="0" collapsed="false">
      <c r="B9" s="23" t="s">
        <v>31</v>
      </c>
    </row>
    <row r="10" customFormat="false" ht="55.5" hidden="false" customHeight="true" outlineLevel="0" collapsed="false">
      <c r="B10" s="24" t="s">
        <v>32</v>
      </c>
    </row>
    <row r="12" customFormat="false" ht="15" hidden="false" customHeight="false" outlineLevel="0" collapsed="false">
      <c r="B12" s="23" t="s">
        <v>33</v>
      </c>
    </row>
    <row r="13" customFormat="false" ht="55.5" hidden="false" customHeight="true" outlineLevel="0" collapsed="false">
      <c r="B13" s="24" t="s">
        <v>34</v>
      </c>
    </row>
    <row r="15" customFormat="false" ht="15" hidden="false" customHeight="false" outlineLevel="0" collapsed="false">
      <c r="B15" s="23" t="s">
        <v>35</v>
      </c>
    </row>
    <row r="16" customFormat="false" ht="42" hidden="false" customHeight="true" outlineLevel="0" collapsed="false">
      <c r="B16" s="24" t="s">
        <v>36</v>
      </c>
    </row>
    <row r="18" customFormat="false" ht="15" hidden="false" customHeight="false" outlineLevel="0" collapsed="false">
      <c r="B18" s="23" t="s">
        <v>37</v>
      </c>
    </row>
    <row r="19" customFormat="false" ht="42" hidden="false" customHeight="true" outlineLevel="0" collapsed="false">
      <c r="B19" s="24" t="s">
        <v>38</v>
      </c>
    </row>
    <row r="21" customFormat="false" ht="15" hidden="false" customHeight="false" outlineLevel="0" collapsed="false">
      <c r="B21" s="23" t="s">
        <v>39</v>
      </c>
    </row>
    <row r="22" customFormat="false" ht="42" hidden="false" customHeight="true" outlineLevel="0" collapsed="false">
      <c r="B22" s="24" t="s">
        <v>40</v>
      </c>
    </row>
    <row r="24" customFormat="false" ht="15" hidden="false" customHeight="false" outlineLevel="0" collapsed="false">
      <c r="B24" s="23" t="s">
        <v>41</v>
      </c>
    </row>
    <row r="25" customFormat="false" ht="27.75" hidden="false" customHeight="true" outlineLevel="0" collapsed="false">
      <c r="B25" s="2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25" t="s">
        <v>43</v>
      </c>
      <c r="B1" s="25"/>
      <c r="C1" s="25"/>
      <c r="D1" s="25"/>
      <c r="E1" s="25"/>
      <c r="F1" s="25"/>
    </row>
    <row r="3" customFormat="false" ht="15" hidden="false" customHeight="false" outlineLevel="0" collapsed="false">
      <c r="A3" s="26" t="s">
        <v>20</v>
      </c>
      <c r="B3" s="16" t="s">
        <v>2</v>
      </c>
      <c r="C3" s="16" t="s">
        <v>3</v>
      </c>
      <c r="D3" s="16" t="s">
        <v>21</v>
      </c>
      <c r="E3" s="16" t="s">
        <v>44</v>
      </c>
      <c r="F3" s="16" t="s">
        <v>22</v>
      </c>
    </row>
    <row r="4" customFormat="false" ht="15" hidden="false" customHeight="false" outlineLevel="0" collapsed="false">
      <c r="A4" s="27" t="s">
        <v>5</v>
      </c>
      <c r="B4" s="28" t="n">
        <v>405</v>
      </c>
      <c r="C4" s="28" t="n">
        <v>413.7</v>
      </c>
      <c r="D4" s="29" t="n">
        <f aca="false">C4-B4</f>
        <v>8.69999999999999</v>
      </c>
      <c r="E4" s="30" t="n">
        <f aca="false">IF(B4=0,0,(C4-B4)/ABS(B4))</f>
        <v>0.0214814814814815</v>
      </c>
      <c r="F4" s="31" t="str">
        <f aca="false">IF(D4&gt;=0,"Favourable","Adverse")</f>
        <v>Favourable</v>
      </c>
    </row>
    <row r="5" customFormat="false" ht="15" hidden="false" customHeight="false" outlineLevel="0" collapsed="false">
      <c r="A5" s="27" t="s">
        <v>45</v>
      </c>
      <c r="B5" s="28" t="n">
        <v>-277.4</v>
      </c>
      <c r="C5" s="28" t="n">
        <v>-289.6</v>
      </c>
      <c r="D5" s="29" t="n">
        <f aca="false">C5-B5</f>
        <v>-12.2</v>
      </c>
      <c r="E5" s="30" t="n">
        <f aca="false">IF(B5=0,0,(C5-B5)/ABS(B5))</f>
        <v>-0.0439798125450615</v>
      </c>
      <c r="F5" s="31" t="str">
        <f aca="false">IF(D5&gt;=0,"Favourable","Adverse")</f>
        <v>Adverse</v>
      </c>
    </row>
    <row r="6" customFormat="false" ht="15" hidden="false" customHeight="false" outlineLevel="0" collapsed="false">
      <c r="A6" s="32" t="s">
        <v>6</v>
      </c>
      <c r="B6" s="33" t="n">
        <f aca="false">B4+B5</f>
        <v>127.6</v>
      </c>
      <c r="C6" s="33" t="n">
        <f aca="false">C4+C5</f>
        <v>124.1</v>
      </c>
      <c r="D6" s="33" t="n">
        <f aca="false">C6-B6</f>
        <v>-3.50000000000006</v>
      </c>
      <c r="E6" s="34" t="n">
        <f aca="false">IF(B6=0,0,(C6-B6)/ABS(B6))</f>
        <v>-0.0274294670846399</v>
      </c>
      <c r="F6" s="35" t="str">
        <f aca="false">IF(D6&gt;=0,"Favourable","Adverse")</f>
        <v>Adverse</v>
      </c>
    </row>
    <row r="7" customFormat="false" ht="15" hidden="false" customHeight="false" outlineLevel="0" collapsed="false">
      <c r="A7" s="27" t="s">
        <v>46</v>
      </c>
      <c r="B7" s="28" t="n">
        <v>-97.1</v>
      </c>
      <c r="C7" s="28" t="n">
        <v>-92.8</v>
      </c>
      <c r="D7" s="29" t="n">
        <f aca="false">C7-B7</f>
        <v>4.3</v>
      </c>
      <c r="E7" s="30" t="n">
        <f aca="false">IF(B7=0,0,(C7-B7)/ABS(B7))</f>
        <v>0.0442842430484037</v>
      </c>
      <c r="F7" s="31" t="str">
        <f aca="false">IF(D7&gt;=0,"Favourable","Adverse")</f>
        <v>Favourable</v>
      </c>
    </row>
    <row r="8" customFormat="false" ht="15" hidden="false" customHeight="false" outlineLevel="0" collapsed="false">
      <c r="A8" s="32" t="s">
        <v>23</v>
      </c>
      <c r="B8" s="33" t="n">
        <f aca="false">B6+B7</f>
        <v>30.5</v>
      </c>
      <c r="C8" s="33" t="n">
        <f aca="false">C6+C7</f>
        <v>31.3</v>
      </c>
      <c r="D8" s="33" t="n">
        <f aca="false">C8-B8</f>
        <v>0.79999999999994</v>
      </c>
      <c r="E8" s="34" t="n">
        <f aca="false">IF(B8=0,0,(C8-B8)/ABS(B8))</f>
        <v>0.0262295081967193</v>
      </c>
      <c r="F8" s="35" t="str">
        <f aca="false">IF(D8&gt;=0,"Favourable","Adverse")</f>
        <v>Favourable</v>
      </c>
    </row>
    <row r="9" customFormat="false" ht="15" hidden="false" customHeight="false" outlineLevel="0" collapsed="false">
      <c r="A9" s="27" t="s">
        <v>47</v>
      </c>
      <c r="B9" s="28" t="n">
        <v>-10.5</v>
      </c>
      <c r="C9" s="28" t="n">
        <v>-10.8</v>
      </c>
      <c r="D9" s="29" t="n">
        <f aca="false">C9-B9</f>
        <v>-0.300000000000001</v>
      </c>
      <c r="E9" s="30" t="n">
        <f aca="false">IF(B9=0,0,(C9-B9)/ABS(B9))</f>
        <v>-0.0285714285714286</v>
      </c>
      <c r="F9" s="31" t="str">
        <f aca="false">IF(D9&gt;=0,"Favourable","Adverse")</f>
        <v>Adverse</v>
      </c>
    </row>
    <row r="10" customFormat="false" ht="15" hidden="false" customHeight="false" outlineLevel="0" collapsed="false">
      <c r="A10" s="32" t="s">
        <v>24</v>
      </c>
      <c r="B10" s="33" t="n">
        <f aca="false">B8+B9</f>
        <v>20</v>
      </c>
      <c r="C10" s="33" t="n">
        <f aca="false">C8+C9</f>
        <v>20.5</v>
      </c>
      <c r="D10" s="33" t="n">
        <f aca="false">C10-B10</f>
        <v>0.49999999999994</v>
      </c>
      <c r="E10" s="34" t="n">
        <f aca="false">IF(B10=0,0,(C10-B10)/ABS(B10))</f>
        <v>0.0249999999999969</v>
      </c>
      <c r="F10" s="35" t="str">
        <f aca="false">IF(D10&gt;=0,"Favourable","Adverse")</f>
        <v>Favourable</v>
      </c>
    </row>
    <row r="12" customFormat="false" ht="15" hidden="false" customHeight="false" outlineLevel="0" collapsed="false">
      <c r="A12" s="27" t="s">
        <v>48</v>
      </c>
      <c r="B12" s="30" t="n">
        <f aca="false">B6/B4</f>
        <v>0.315061728395062</v>
      </c>
      <c r="C12" s="30" t="n">
        <f aca="false">C6/C4</f>
        <v>0.29997582789461</v>
      </c>
      <c r="D12" s="30" t="n">
        <f aca="false">C12-B12</f>
        <v>-0.0150859005004523</v>
      </c>
    </row>
    <row r="13" customFormat="false" ht="15" hidden="false" customHeight="false" outlineLevel="0" collapsed="false">
      <c r="A13" s="27" t="s">
        <v>49</v>
      </c>
      <c r="B13" s="30" t="n">
        <f aca="false">B8/B4</f>
        <v>0.0753086419753087</v>
      </c>
      <c r="C13" s="30" t="n">
        <f aca="false">C8/C4</f>
        <v>0.0756586898718878</v>
      </c>
      <c r="D13" s="30" t="n">
        <f aca="false">C13-B13</f>
        <v>0.000350047896579053</v>
      </c>
    </row>
    <row r="15" customFormat="false" ht="15" hidden="false" customHeight="false" outlineLevel="0" collapsed="false">
      <c r="A15" s="2" t="s">
        <v>50</v>
      </c>
    </row>
    <row r="17" customFormat="false" ht="15" hidden="false" customHeight="false" outlineLevel="0" collapsed="false">
      <c r="A17" s="23" t="s">
        <v>14</v>
      </c>
    </row>
    <row r="18" customFormat="false" ht="15" hidden="false" customHeight="false" outlineLevel="0" collapsed="false">
      <c r="A18" s="32" t="s">
        <v>12</v>
      </c>
      <c r="B18" s="36" t="n">
        <f aca="false">B8</f>
        <v>30.5</v>
      </c>
    </row>
    <row r="19" customFormat="false" ht="15" hidden="false" customHeight="false" outlineLevel="0" collapsed="false">
      <c r="A19" s="27" t="s">
        <v>51</v>
      </c>
      <c r="B19" s="29" t="n">
        <f aca="false">(C4-B4)*(B6/B4)</f>
        <v>2.74103703703703</v>
      </c>
    </row>
    <row r="20" customFormat="false" ht="15" hidden="false" customHeight="false" outlineLevel="0" collapsed="false">
      <c r="A20" s="27" t="s">
        <v>52</v>
      </c>
      <c r="B20" s="29" t="n">
        <f aca="false">(C6/C4-B6/B4)*C4</f>
        <v>-6.24103703703711</v>
      </c>
    </row>
    <row r="21" customFormat="false" ht="15" hidden="false" customHeight="false" outlineLevel="0" collapsed="false">
      <c r="A21" s="27" t="s">
        <v>53</v>
      </c>
      <c r="B21" s="29" t="n">
        <f aca="false">C7-B7</f>
        <v>4.3</v>
      </c>
    </row>
    <row r="22" customFormat="false" ht="15" hidden="false" customHeight="false" outlineLevel="0" collapsed="false">
      <c r="A22" s="32" t="s">
        <v>18</v>
      </c>
      <c r="B22" s="36" t="n">
        <f aca="false">C8</f>
        <v>31.3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37" t="s">
        <v>54</v>
      </c>
      <c r="B1" s="37"/>
      <c r="C1" s="37"/>
      <c r="D1" s="37"/>
      <c r="E1" s="37"/>
      <c r="F1" s="37"/>
    </row>
    <row r="3" customFormat="false" ht="15" hidden="false" customHeight="false" outlineLevel="0" collapsed="false">
      <c r="A3" s="26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</row>
    <row r="5" customFormat="false" ht="15" hidden="false" customHeight="false" outlineLevel="0" collapsed="false">
      <c r="A5" s="23" t="s">
        <v>5</v>
      </c>
    </row>
    <row r="6" customFormat="false" ht="15" hidden="false" customHeight="false" outlineLevel="0" collapsed="false">
      <c r="A6" s="27" t="s">
        <v>2</v>
      </c>
      <c r="B6" s="29" t="n">
        <f aca="false">'Variance Analysis'!B4*0.22</f>
        <v>89.1</v>
      </c>
      <c r="C6" s="29" t="n">
        <f aca="false">'Variance Analysis'!B4*0.24</f>
        <v>97.2</v>
      </c>
      <c r="D6" s="29" t="n">
        <f aca="false">'Variance Analysis'!B4*0.28</f>
        <v>113.4</v>
      </c>
      <c r="E6" s="29" t="n">
        <f aca="false">'Variance Analysis'!B4*0.26</f>
        <v>105.3</v>
      </c>
      <c r="F6" s="36" t="n">
        <f aca="false">SUM(B6:E6)</f>
        <v>405</v>
      </c>
    </row>
    <row r="7" customFormat="false" ht="15" hidden="false" customHeight="false" outlineLevel="0" collapsed="false">
      <c r="A7" s="27" t="s">
        <v>3</v>
      </c>
      <c r="B7" s="29" t="n">
        <f aca="false">'Variance Analysis'!C4*0.22</f>
        <v>91.014</v>
      </c>
      <c r="C7" s="29" t="n">
        <f aca="false">'Variance Analysis'!C4*0.24</f>
        <v>99.288</v>
      </c>
      <c r="D7" s="29" t="n">
        <f aca="false">'Variance Analysis'!C4*0.28</f>
        <v>115.836</v>
      </c>
      <c r="E7" s="29" t="n">
        <f aca="false">'Variance Analysis'!C4*0.26</f>
        <v>107.562</v>
      </c>
      <c r="F7" s="36" t="n">
        <f aca="false">SUM(B7:E7)</f>
        <v>413.7</v>
      </c>
    </row>
    <row r="8" customFormat="false" ht="15" hidden="false" customHeight="false" outlineLevel="0" collapsed="false">
      <c r="A8" s="32" t="s">
        <v>61</v>
      </c>
      <c r="B8" s="33" t="n">
        <f aca="false">B7-B6</f>
        <v>1.914</v>
      </c>
      <c r="C8" s="33" t="n">
        <f aca="false">C7-C6</f>
        <v>2.08799999999999</v>
      </c>
      <c r="D8" s="33" t="n">
        <f aca="false">D7-D6</f>
        <v>2.43600000000001</v>
      </c>
      <c r="E8" s="33" t="n">
        <f aca="false">E7-E6</f>
        <v>2.262</v>
      </c>
      <c r="F8" s="33" t="n">
        <f aca="false">F7-F6</f>
        <v>8.70000000000005</v>
      </c>
    </row>
    <row r="10" customFormat="false" ht="15" hidden="false" customHeight="false" outlineLevel="0" collapsed="false">
      <c r="A10" s="23" t="s">
        <v>23</v>
      </c>
    </row>
    <row r="11" customFormat="false" ht="15" hidden="false" customHeight="false" outlineLevel="0" collapsed="false">
      <c r="A11" s="27" t="s">
        <v>2</v>
      </c>
      <c r="B11" s="29" t="n">
        <f aca="false">'Variance Analysis'!B8*0.22</f>
        <v>6.71000000000001</v>
      </c>
      <c r="C11" s="29" t="n">
        <f aca="false">'Variance Analysis'!B8*0.24</f>
        <v>7.32000000000001</v>
      </c>
      <c r="D11" s="29" t="n">
        <f aca="false">'Variance Analysis'!B8*0.28</f>
        <v>8.54000000000001</v>
      </c>
      <c r="E11" s="29" t="n">
        <f aca="false">'Variance Analysis'!B8*0.26</f>
        <v>7.93000000000001</v>
      </c>
      <c r="F11" s="36" t="n">
        <f aca="false">SUM(B11:E11)</f>
        <v>30.5</v>
      </c>
    </row>
    <row r="12" customFormat="false" ht="15" hidden="false" customHeight="false" outlineLevel="0" collapsed="false">
      <c r="A12" s="27" t="s">
        <v>3</v>
      </c>
      <c r="B12" s="29" t="n">
        <f aca="false">'Variance Analysis'!C8*0.22</f>
        <v>6.88599999999999</v>
      </c>
      <c r="C12" s="29" t="n">
        <f aca="false">'Variance Analysis'!C8*0.24</f>
        <v>7.51199999999999</v>
      </c>
      <c r="D12" s="29" t="n">
        <f aca="false">'Variance Analysis'!C8*0.28</f>
        <v>8.76399999999999</v>
      </c>
      <c r="E12" s="29" t="n">
        <f aca="false">'Variance Analysis'!C8*0.26</f>
        <v>8.13799999999999</v>
      </c>
      <c r="F12" s="36" t="n">
        <f aca="false">SUM(B12:E12)</f>
        <v>31.3</v>
      </c>
    </row>
    <row r="13" customFormat="false" ht="15" hidden="false" customHeight="false" outlineLevel="0" collapsed="false">
      <c r="A13" s="32" t="s">
        <v>61</v>
      </c>
      <c r="B13" s="33" t="n">
        <f aca="false">B12-B11</f>
        <v>0.175999999999987</v>
      </c>
      <c r="C13" s="33" t="n">
        <f aca="false">C12-C11</f>
        <v>0.191999999999986</v>
      </c>
      <c r="D13" s="33" t="n">
        <f aca="false">D12-D11</f>
        <v>0.223999999999984</v>
      </c>
      <c r="E13" s="33" t="n">
        <f aca="false">E12-E11</f>
        <v>0.207999999999985</v>
      </c>
      <c r="F13" s="33" t="n">
        <f aca="false">F12-F11</f>
        <v>0.79999999999994</v>
      </c>
    </row>
    <row r="15" customFormat="false" ht="15" hidden="false" customHeight="true" outlineLevel="0" collapsed="false">
      <c r="A15" s="38" t="s">
        <v>62</v>
      </c>
      <c r="B15" s="38"/>
      <c r="C15" s="38"/>
      <c r="D15" s="38"/>
      <c r="E15" s="38"/>
      <c r="F15" s="38"/>
    </row>
    <row r="16" customFormat="false" ht="15" hidden="false" customHeight="false" outlineLevel="0" collapsed="false">
      <c r="A16" s="38"/>
      <c r="B16" s="38"/>
      <c r="C16" s="38"/>
      <c r="D16" s="38"/>
      <c r="E16" s="38"/>
      <c r="F16" s="38"/>
    </row>
  </sheetData>
  <mergeCells count="2">
    <mergeCell ref="A1:F1"/>
    <mergeCell ref="A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2026-06-30T01:53:51Z</dcterms:created>
  <dc:creator>openpyxl</dc:creator>
  <dc:description/>
  <dc:language>en-US</dc:language>
  <cp:lastModifiedBy/>
  <dcterms:modified xsi:type="dcterms:W3CDTF">2026-06-30T01:53:55Z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